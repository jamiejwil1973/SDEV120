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\Documents\IvyTech SDEV120 Logical Thinking\Module 4\"/>
    </mc:Choice>
  </mc:AlternateContent>
  <xr:revisionPtr revIDLastSave="0" documentId="13_ncr:1_{6200D480-C9D6-4188-93A9-D6EB9A60D36C}" xr6:coauthVersionLast="47" xr6:coauthVersionMax="47" xr10:uidLastSave="{00000000-0000-0000-0000-000000000000}"/>
  <bookViews>
    <workbookView xWindow="-28920" yWindow="-2835" windowWidth="29040" windowHeight="15720" tabRatio="808" activeTab="7" xr2:uid="{0415DE9C-9C5E-47C7-B994-E3F0931F19D4}"/>
  </bookViews>
  <sheets>
    <sheet name="Demographics" sheetId="1" r:id="rId1"/>
    <sheet name="Payroll" sheetId="2" r:id="rId2"/>
    <sheet name="EmployeeHoursEntry" sheetId="19" r:id="rId3"/>
    <sheet name="PayStubInfo" sheetId="20" r:id="rId4"/>
    <sheet name="SystemReq" sheetId="4" r:id="rId5"/>
    <sheet name="DATA" sheetId="22" r:id="rId6"/>
    <sheet name="SwReq" sheetId="21" r:id="rId7"/>
    <sheet name="TestCasesList" sheetId="3" r:id="rId8"/>
    <sheet name="Metrics" sheetId="5" r:id="rId9"/>
    <sheet name="TC1001" sheetId="6" r:id="rId10"/>
    <sheet name="TC1002" sheetId="7" r:id="rId11"/>
    <sheet name="TC1003" sheetId="8" r:id="rId12"/>
    <sheet name="TC1004" sheetId="9" r:id="rId13"/>
    <sheet name="TS1005" sheetId="10" r:id="rId14"/>
    <sheet name="TC1006" sheetId="11" r:id="rId15"/>
    <sheet name="TC1007" sheetId="12" r:id="rId16"/>
    <sheet name="TC1008" sheetId="13" r:id="rId17"/>
    <sheet name="TC1009" sheetId="14" r:id="rId18"/>
    <sheet name="TC1010" sheetId="15" r:id="rId19"/>
  </sheets>
  <definedNames>
    <definedName name="_xlnm._FilterDatabase" localSheetId="4" hidden="1">SystemReq!$P$2:$P$35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7" i="2"/>
  <c r="D7" i="20" s="1"/>
  <c r="A1" i="20"/>
  <c r="B1" i="20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A2" i="20"/>
  <c r="B2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A3" i="20"/>
  <c r="B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A4" i="20"/>
  <c r="B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A5" i="20"/>
  <c r="B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A6" i="20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A7" i="20"/>
  <c r="B7" i="20"/>
  <c r="C7" i="20"/>
  <c r="E7" i="20"/>
  <c r="F7" i="20"/>
  <c r="G7" i="20"/>
  <c r="H7" i="20"/>
  <c r="I7" i="20"/>
  <c r="J7" i="20"/>
  <c r="K7" i="20"/>
  <c r="L7" i="20"/>
  <c r="O7" i="20"/>
  <c r="P7" i="20"/>
  <c r="A8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A9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A10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A11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A12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F2" i="19"/>
  <c r="F3" i="19"/>
  <c r="F4" i="19"/>
  <c r="F5" i="19"/>
  <c r="F6" i="19"/>
  <c r="F7" i="19"/>
  <c r="F8" i="19"/>
  <c r="F9" i="19"/>
  <c r="F10" i="19"/>
  <c r="F11" i="19"/>
  <c r="F12" i="19"/>
  <c r="J2" i="2"/>
  <c r="J6" i="2"/>
  <c r="K6" i="2" s="1"/>
  <c r="N4" i="19"/>
  <c r="J4" i="2" s="1"/>
  <c r="N5" i="19"/>
  <c r="J5" i="2" s="1"/>
  <c r="L5" i="2" s="1"/>
  <c r="N6" i="19"/>
  <c r="N7" i="19"/>
  <c r="J7" i="2" s="1"/>
  <c r="N8" i="19"/>
  <c r="J8" i="2" s="1"/>
  <c r="L8" i="2" s="1"/>
  <c r="N9" i="19"/>
  <c r="J9" i="2" s="1"/>
  <c r="L9" i="2" s="1"/>
  <c r="N10" i="19"/>
  <c r="J10" i="2" s="1"/>
  <c r="K10" i="2" s="1"/>
  <c r="N11" i="19"/>
  <c r="J11" i="2" s="1"/>
  <c r="L11" i="2" s="1"/>
  <c r="N12" i="19"/>
  <c r="J12" i="2" s="1"/>
  <c r="L12" i="2" s="1"/>
  <c r="N3" i="19"/>
  <c r="J3" i="2" s="1"/>
  <c r="A1" i="19"/>
  <c r="B1" i="19"/>
  <c r="A2" i="19"/>
  <c r="B2" i="19"/>
  <c r="C2" i="19"/>
  <c r="D2" i="19"/>
  <c r="A3" i="19"/>
  <c r="B3" i="19"/>
  <c r="C3" i="19"/>
  <c r="D3" i="19"/>
  <c r="A4" i="19"/>
  <c r="B4" i="19"/>
  <c r="C4" i="19"/>
  <c r="D4" i="19"/>
  <c r="A5" i="19"/>
  <c r="B5" i="19"/>
  <c r="C5" i="19"/>
  <c r="D5" i="19"/>
  <c r="A6" i="19"/>
  <c r="B6" i="19"/>
  <c r="C6" i="19"/>
  <c r="D6" i="19"/>
  <c r="A7" i="19"/>
  <c r="B7" i="19"/>
  <c r="C7" i="19"/>
  <c r="D7" i="19"/>
  <c r="A8" i="19"/>
  <c r="B8" i="19"/>
  <c r="C8" i="19"/>
  <c r="D8" i="19"/>
  <c r="A9" i="19"/>
  <c r="B9" i="19"/>
  <c r="C9" i="19"/>
  <c r="D9" i="19"/>
  <c r="A10" i="19"/>
  <c r="B10" i="19"/>
  <c r="C10" i="19"/>
  <c r="D10" i="19"/>
  <c r="A11" i="19"/>
  <c r="B11" i="19"/>
  <c r="C11" i="19"/>
  <c r="D11" i="19"/>
  <c r="A12" i="19"/>
  <c r="B12" i="19"/>
  <c r="C12" i="19"/>
  <c r="D12" i="19"/>
  <c r="I2" i="2"/>
  <c r="I3" i="2"/>
  <c r="I4" i="2"/>
  <c r="I5" i="2"/>
  <c r="I6" i="2"/>
  <c r="I7" i="2"/>
  <c r="I8" i="2"/>
  <c r="I9" i="2"/>
  <c r="I10" i="2"/>
  <c r="I11" i="2"/>
  <c r="I12" i="2"/>
  <c r="B1" i="2"/>
  <c r="F1" i="2"/>
  <c r="A2" i="2"/>
  <c r="B2" i="2"/>
  <c r="C2" i="2"/>
  <c r="D2" i="2"/>
  <c r="E2" i="2"/>
  <c r="F2" i="2"/>
  <c r="G2" i="2"/>
  <c r="H2" i="2"/>
  <c r="A3" i="2"/>
  <c r="B3" i="2"/>
  <c r="C3" i="2"/>
  <c r="E3" i="2"/>
  <c r="F3" i="2"/>
  <c r="G3" i="2"/>
  <c r="H3" i="2"/>
  <c r="A4" i="2"/>
  <c r="B4" i="2"/>
  <c r="C4" i="2"/>
  <c r="D4" i="2"/>
  <c r="E4" i="2"/>
  <c r="F4" i="2"/>
  <c r="G4" i="2"/>
  <c r="H4" i="2"/>
  <c r="A5" i="2"/>
  <c r="B5" i="2"/>
  <c r="C5" i="2"/>
  <c r="D5" i="2"/>
  <c r="E5" i="2"/>
  <c r="F5" i="2"/>
  <c r="G5" i="2"/>
  <c r="H5" i="2"/>
  <c r="A6" i="2"/>
  <c r="B6" i="2"/>
  <c r="C6" i="2"/>
  <c r="D6" i="2"/>
  <c r="E6" i="2"/>
  <c r="F6" i="2"/>
  <c r="G6" i="2"/>
  <c r="H6" i="2"/>
  <c r="A7" i="2"/>
  <c r="B7" i="2"/>
  <c r="C7" i="2"/>
  <c r="E7" i="2"/>
  <c r="F7" i="2"/>
  <c r="G7" i="2"/>
  <c r="H7" i="2"/>
  <c r="A8" i="2"/>
  <c r="B8" i="2"/>
  <c r="C8" i="2"/>
  <c r="D8" i="2"/>
  <c r="E8" i="2"/>
  <c r="F8" i="2"/>
  <c r="G8" i="2"/>
  <c r="H8" i="2"/>
  <c r="A9" i="2"/>
  <c r="B9" i="2"/>
  <c r="C9" i="2"/>
  <c r="D9" i="2"/>
  <c r="E9" i="2"/>
  <c r="F9" i="2"/>
  <c r="G9" i="2"/>
  <c r="H9" i="2"/>
  <c r="A10" i="2"/>
  <c r="B10" i="2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K7" i="2" l="1"/>
  <c r="L7" i="2"/>
  <c r="N7" i="2" s="1"/>
  <c r="N7" i="20" s="1"/>
  <c r="L4" i="2"/>
  <c r="N4" i="2" s="1"/>
  <c r="K4" i="2"/>
  <c r="M4" i="2" s="1"/>
  <c r="K3" i="2"/>
  <c r="M3" i="2" s="1"/>
  <c r="L3" i="2"/>
  <c r="N3" i="2" s="1"/>
  <c r="L10" i="2"/>
  <c r="N10" i="2" s="1"/>
  <c r="K12" i="2"/>
  <c r="M12" i="2" s="1"/>
  <c r="K11" i="2"/>
  <c r="M11" i="2" s="1"/>
  <c r="K9" i="2"/>
  <c r="M9" i="2" s="1"/>
  <c r="K5" i="2"/>
  <c r="M5" i="2" s="1"/>
  <c r="L6" i="2"/>
  <c r="N6" i="2" s="1"/>
  <c r="K8" i="2"/>
  <c r="M8" i="2" s="1"/>
  <c r="M7" i="2"/>
  <c r="M7" i="20" s="1"/>
  <c r="N9" i="2"/>
  <c r="N12" i="2"/>
  <c r="N8" i="2"/>
  <c r="N5" i="2"/>
  <c r="M10" i="2"/>
  <c r="M6" i="2"/>
  <c r="N11" i="2"/>
  <c r="S8" i="2" l="1"/>
  <c r="S9" i="2"/>
  <c r="S10" i="2"/>
  <c r="S6" i="2"/>
  <c r="R10" i="2"/>
  <c r="Q10" i="2"/>
  <c r="Q6" i="2"/>
  <c r="R6" i="2"/>
  <c r="R9" i="2"/>
  <c r="Q9" i="2"/>
  <c r="Q8" i="2"/>
  <c r="R8" i="2"/>
  <c r="S11" i="2"/>
  <c r="S7" i="2"/>
  <c r="S7" i="20" s="1"/>
  <c r="S5" i="2"/>
  <c r="S4" i="2"/>
  <c r="S12" i="2"/>
  <c r="S3" i="2"/>
  <c r="T8" i="2" l="1"/>
  <c r="T9" i="2"/>
  <c r="T6" i="2"/>
  <c r="T10" i="2"/>
  <c r="Q7" i="2"/>
  <c r="Q7" i="20" s="1"/>
  <c r="R7" i="2"/>
  <c r="R7" i="20" s="1"/>
  <c r="R11" i="2"/>
  <c r="Q11" i="2"/>
  <c r="R3" i="2"/>
  <c r="Q3" i="2"/>
  <c r="Q4" i="2"/>
  <c r="R4" i="2"/>
  <c r="Q5" i="2"/>
  <c r="R5" i="2"/>
  <c r="Q12" i="2"/>
  <c r="R12" i="2"/>
  <c r="T3" i="2" l="1"/>
  <c r="T11" i="2"/>
  <c r="T7" i="2"/>
  <c r="T7" i="20" s="1"/>
  <c r="T12" i="2"/>
  <c r="T5" i="2"/>
  <c r="T4" i="2"/>
</calcChain>
</file>

<file path=xl/sharedStrings.xml><?xml version="1.0" encoding="utf-8"?>
<sst xmlns="http://schemas.openxmlformats.org/spreadsheetml/2006/main" count="441" uniqueCount="237">
  <si>
    <t>Month</t>
  </si>
  <si>
    <t>Day</t>
  </si>
  <si>
    <t>Year</t>
  </si>
  <si>
    <t>Birthday</t>
  </si>
  <si>
    <t>Social Security ID</t>
  </si>
  <si>
    <t>Employment</t>
  </si>
  <si>
    <t>StartMonth</t>
  </si>
  <si>
    <t>StartDay</t>
  </si>
  <si>
    <t>StartYear</t>
  </si>
  <si>
    <t>EndMonth</t>
  </si>
  <si>
    <t>EndDay</t>
  </si>
  <si>
    <t>EndYear</t>
  </si>
  <si>
    <t>SEX</t>
  </si>
  <si>
    <t>Position</t>
  </si>
  <si>
    <t>T</t>
  </si>
  <si>
    <t>TC3</t>
  </si>
  <si>
    <t>Smith</t>
  </si>
  <si>
    <t>Jones</t>
  </si>
  <si>
    <t>Rogers</t>
  </si>
  <si>
    <t>Tom</t>
  </si>
  <si>
    <t>Dick</t>
  </si>
  <si>
    <t>Sue</t>
  </si>
  <si>
    <t>Mary</t>
  </si>
  <si>
    <t>Phillip</t>
  </si>
  <si>
    <t>David</t>
  </si>
  <si>
    <t>Cox</t>
  </si>
  <si>
    <t>Bruce</t>
  </si>
  <si>
    <t>Moore</t>
  </si>
  <si>
    <t>Rocheleau</t>
  </si>
  <si>
    <t>Race</t>
  </si>
  <si>
    <t>Hector</t>
  </si>
  <si>
    <t>Rodrigues</t>
  </si>
  <si>
    <t>Citizen Status</t>
  </si>
  <si>
    <t>F</t>
  </si>
  <si>
    <t>Executive Secretary</t>
  </si>
  <si>
    <t>Electronic Technician</t>
  </si>
  <si>
    <t>Quality Engineer</t>
  </si>
  <si>
    <t>Employee Name</t>
  </si>
  <si>
    <t>Test Engineer</t>
  </si>
  <si>
    <t>System Engineer</t>
  </si>
  <si>
    <t>Engineering Manager</t>
  </si>
  <si>
    <t>Melissa</t>
  </si>
  <si>
    <t>Neemah</t>
  </si>
  <si>
    <t xml:space="preserve">Terry </t>
  </si>
  <si>
    <t>Baker</t>
  </si>
  <si>
    <t>M</t>
  </si>
  <si>
    <t>Green Card</t>
  </si>
  <si>
    <t>U.S Citizen</t>
  </si>
  <si>
    <t>H1 Visa</t>
  </si>
  <si>
    <t>Marital Status</t>
  </si>
  <si>
    <t>Dependents</t>
  </si>
  <si>
    <t>C0101</t>
  </si>
  <si>
    <t>C0105</t>
  </si>
  <si>
    <t>C0108</t>
  </si>
  <si>
    <t>C0109</t>
  </si>
  <si>
    <t>C0102</t>
  </si>
  <si>
    <t>C0103</t>
  </si>
  <si>
    <t>Mestizo</t>
  </si>
  <si>
    <t>AfricanAmerican</t>
  </si>
  <si>
    <t>Caucasian</t>
  </si>
  <si>
    <t>C0107</t>
  </si>
  <si>
    <t>C0110</t>
  </si>
  <si>
    <t>C0111</t>
  </si>
  <si>
    <t>C0115</t>
  </si>
  <si>
    <t>RequirementID</t>
  </si>
  <si>
    <t>Allocation</t>
  </si>
  <si>
    <t>Payroll Program Requirements</t>
  </si>
  <si>
    <t>otHours</t>
  </si>
  <si>
    <t>regHours</t>
  </si>
  <si>
    <t>STATETAX</t>
  </si>
  <si>
    <t>FEDTAX</t>
  </si>
  <si>
    <t>grossPay</t>
  </si>
  <si>
    <t>hrRate</t>
  </si>
  <si>
    <t>netPay</t>
  </si>
  <si>
    <t>otPay</t>
  </si>
  <si>
    <t>regPay</t>
  </si>
  <si>
    <t>lastFour</t>
  </si>
  <si>
    <t>middleTwo</t>
  </si>
  <si>
    <t>firstThree</t>
  </si>
  <si>
    <t>last Name</t>
  </si>
  <si>
    <t>firstName</t>
  </si>
  <si>
    <t>employeeID</t>
  </si>
  <si>
    <t>S</t>
  </si>
  <si>
    <t>Federal and state taxes shall be calculated on pre tax rates.</t>
  </si>
  <si>
    <t>stateTax</t>
  </si>
  <si>
    <t>fedTax</t>
  </si>
  <si>
    <r>
      <rPr>
        <b/>
        <sz val="11"/>
        <color theme="1"/>
        <rFont val="Aptos Narrow"/>
        <family val="2"/>
        <scheme val="minor"/>
      </rPr>
      <t>netPay</t>
    </r>
    <r>
      <rPr>
        <sz val="11"/>
        <color theme="1"/>
        <rFont val="Aptos Narrow"/>
        <family val="2"/>
        <scheme val="minor"/>
      </rPr>
      <t xml:space="preserve"> shall be calculated on (</t>
    </r>
    <r>
      <rPr>
        <b/>
        <sz val="11"/>
        <color theme="1"/>
        <rFont val="Aptos Narrow"/>
        <family val="2"/>
        <scheme val="minor"/>
      </rPr>
      <t>grossPay</t>
    </r>
    <r>
      <rPr>
        <sz val="11"/>
        <color theme="1"/>
        <rFont val="Aptos Narrow"/>
        <family val="2"/>
        <scheme val="minor"/>
      </rPr>
      <t>- (</t>
    </r>
    <r>
      <rPr>
        <b/>
        <sz val="11"/>
        <color theme="1"/>
        <rFont val="Aptos Narrow"/>
        <family val="2"/>
        <scheme val="minor"/>
      </rPr>
      <t>stateTax</t>
    </r>
    <r>
      <rPr>
        <sz val="11"/>
        <color theme="1"/>
        <rFont val="Aptos Narrow"/>
        <family val="2"/>
        <scheme val="minor"/>
      </rPr>
      <t>) - (</t>
    </r>
    <r>
      <rPr>
        <b/>
        <sz val="11"/>
        <color theme="1"/>
        <rFont val="Aptos Narrow"/>
        <family val="2"/>
        <scheme val="minor"/>
      </rPr>
      <t>fedTax</t>
    </r>
    <r>
      <rPr>
        <sz val="11"/>
        <color theme="1"/>
        <rFont val="Aptos Narrow"/>
        <family val="2"/>
        <scheme val="minor"/>
      </rPr>
      <t>))</t>
    </r>
  </si>
  <si>
    <r>
      <rPr>
        <b/>
        <sz val="11"/>
        <color theme="1"/>
        <rFont val="Aptos Narrow"/>
        <family val="2"/>
        <scheme val="minor"/>
      </rPr>
      <t>STATETAX</t>
    </r>
    <r>
      <rPr>
        <sz val="11"/>
        <color theme="1"/>
        <rFont val="Aptos Narrow"/>
        <family val="2"/>
        <scheme val="minor"/>
      </rPr>
      <t xml:space="preserve"> rate shall be fixed at 5.6%</t>
    </r>
  </si>
  <si>
    <r>
      <rPr>
        <b/>
        <sz val="11"/>
        <color theme="1"/>
        <rFont val="Aptos Narrow"/>
        <family val="2"/>
        <scheme val="minor"/>
      </rPr>
      <t>FEDTAX</t>
    </r>
    <r>
      <rPr>
        <sz val="11"/>
        <color theme="1"/>
        <rFont val="Aptos Narrow"/>
        <family val="2"/>
        <scheme val="minor"/>
      </rPr>
      <t xml:space="preserve"> rate shall be fixed at 7.9%</t>
    </r>
  </si>
  <si>
    <r>
      <t xml:space="preserve">Per employee, </t>
    </r>
    <r>
      <rPr>
        <b/>
        <sz val="11"/>
        <color theme="1"/>
        <rFont val="Aptos Narrow"/>
        <family val="2"/>
        <scheme val="minor"/>
      </rPr>
      <t>otPay</t>
    </r>
    <r>
      <rPr>
        <sz val="11"/>
        <color theme="1"/>
        <rFont val="Aptos Narrow"/>
        <family val="2"/>
        <scheme val="minor"/>
      </rPr>
      <t xml:space="preserve"> shall be calculated only on hours worked  over 40 hours regular time and based upon (1.5*  otHours * employee hourly rate).</t>
    </r>
  </si>
  <si>
    <r>
      <t xml:space="preserve">Per employee, </t>
    </r>
    <r>
      <rPr>
        <b/>
        <sz val="11"/>
        <color theme="1"/>
        <rFont val="Aptos Narrow"/>
        <family val="2"/>
        <scheme val="minor"/>
      </rPr>
      <t>grossPay</t>
    </r>
    <r>
      <rPr>
        <sz val="11"/>
        <color theme="1"/>
        <rFont val="Aptos Narrow"/>
        <family val="2"/>
        <scheme val="minor"/>
      </rPr>
      <t xml:space="preserve">  income shall be calculate based upon number of (regHours worked * employee hourly rate) + (</t>
    </r>
    <r>
      <rPr>
        <b/>
        <sz val="11"/>
        <color theme="1"/>
        <rFont val="Aptos Narrow"/>
        <family val="2"/>
        <scheme val="minor"/>
      </rPr>
      <t>otHours</t>
    </r>
    <r>
      <rPr>
        <sz val="11"/>
        <color theme="1"/>
        <rFont val="Aptos Narrow"/>
        <family val="2"/>
        <scheme val="minor"/>
      </rPr>
      <t xml:space="preserve"> worked *1.5*</t>
    </r>
    <r>
      <rPr>
        <b/>
        <sz val="11"/>
        <color theme="1"/>
        <rFont val="Aptos Narrow"/>
        <family val="2"/>
        <scheme val="minor"/>
      </rPr>
      <t>employeeHR</t>
    </r>
    <r>
      <rPr>
        <sz val="11"/>
        <color theme="1"/>
        <rFont val="Aptos Narrow"/>
        <family val="2"/>
        <scheme val="minor"/>
      </rPr>
      <t>)</t>
    </r>
  </si>
  <si>
    <r>
      <t xml:space="preserve">Each employee shall have a unique </t>
    </r>
    <r>
      <rPr>
        <b/>
        <sz val="11"/>
        <color theme="1"/>
        <rFont val="Aptos Narrow"/>
        <family val="2"/>
        <scheme val="minor"/>
      </rPr>
      <t>employeeID</t>
    </r>
  </si>
  <si>
    <t>Camel Case shall be used in the naming convention of variables.</t>
  </si>
  <si>
    <t xml:space="preserve">Bolded names in the requirements indicate required Variables, constants, and module names </t>
  </si>
  <si>
    <t>Constants shall be ALL CAPS without spacing or underscores</t>
  </si>
  <si>
    <r>
      <t>Per employee, any hours over 40 hours worked shall be considered overtime hours (</t>
    </r>
    <r>
      <rPr>
        <b/>
        <sz val="11"/>
        <color theme="1"/>
        <rFont val="Aptos Narrow"/>
        <family val="2"/>
        <scheme val="minor"/>
      </rPr>
      <t>otHours</t>
    </r>
    <r>
      <rPr>
        <sz val="11"/>
        <color theme="1"/>
        <rFont val="Aptos Narrow"/>
        <family val="2"/>
        <scheme val="minor"/>
      </rPr>
      <t>).</t>
    </r>
  </si>
  <si>
    <t>tcID</t>
  </si>
  <si>
    <t>Pass/Fail Results</t>
  </si>
  <si>
    <t xml:space="preserve">Variable and Constant names shall match with correlating  database attributes and entities.. </t>
  </si>
  <si>
    <t>Payroll Administrator</t>
  </si>
  <si>
    <t>HR Manager</t>
  </si>
  <si>
    <t>The Payroll administrator shall have full access to information</t>
  </si>
  <si>
    <t>The  Payroll application shall incorporate a role based access control (RBAC) user authentication process preventing unauthorized users from accessing payroll information.</t>
  </si>
  <si>
    <t>Security Requirements</t>
  </si>
  <si>
    <t>Req. Type</t>
  </si>
  <si>
    <t>Header- NAR</t>
  </si>
  <si>
    <r>
      <t xml:space="preserve">Each employee </t>
    </r>
    <r>
      <rPr>
        <b/>
        <sz val="11"/>
        <color theme="1"/>
        <rFont val="Aptos Narrow"/>
        <family val="2"/>
        <scheme val="minor"/>
      </rPr>
      <t>firstName</t>
    </r>
    <r>
      <rPr>
        <sz val="11"/>
        <color theme="1"/>
        <rFont val="Aptos Narrow"/>
        <family val="2"/>
        <scheme val="minor"/>
      </rPr>
      <t xml:space="preserve"> and</t>
    </r>
    <r>
      <rPr>
        <b/>
        <sz val="11"/>
        <color theme="1"/>
        <rFont val="Aptos Narrow"/>
        <family val="2"/>
        <scheme val="minor"/>
      </rPr>
      <t xml:space="preserve"> lastName</t>
    </r>
    <r>
      <rPr>
        <sz val="11"/>
        <color theme="1"/>
        <rFont val="Aptos Narrow"/>
        <family val="2"/>
        <scheme val="minor"/>
      </rPr>
      <t xml:space="preserve"> shall be associated </t>
    </r>
    <r>
      <rPr>
        <b/>
        <sz val="11"/>
        <color theme="1"/>
        <rFont val="Aptos Narrow"/>
        <family val="2"/>
        <scheme val="minor"/>
      </rPr>
      <t>employeeID</t>
    </r>
  </si>
  <si>
    <t>A work week shall begin on Sunday and end on Saturday.</t>
  </si>
  <si>
    <t>hrsWorked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</si>
  <si>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</si>
  <si>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</si>
  <si>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</si>
  <si>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</si>
  <si>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</si>
  <si>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</si>
  <si>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</si>
  <si>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Need to set up condition where only the row applicable to an employee is viewable  based upon employeeID and lastFour, </t>
  </si>
  <si>
    <t>Direct</t>
  </si>
  <si>
    <t>N/A</t>
  </si>
  <si>
    <t>HR</t>
  </si>
  <si>
    <t>Quality</t>
  </si>
  <si>
    <t>Executive</t>
  </si>
  <si>
    <t>Payroll</t>
  </si>
  <si>
    <t>Domain</t>
  </si>
  <si>
    <t>Need to setup a condition where if (Password == EngineeringMgr &amp;&amp; Last Four) &amp;&amp; (Domain ==Direct)), rows are visible, but lastfour column is hidden</t>
  </si>
  <si>
    <t>Functional Requirements</t>
  </si>
  <si>
    <t>Functional</t>
  </si>
  <si>
    <t>Security</t>
  </si>
  <si>
    <t>Each employee shall be able to only input hours worked in the EmplyeeHoursEntry portal</t>
  </si>
  <si>
    <t>Each Employee other than the payroll administrator, shall only be able to view their own paycheck and tax forms</t>
  </si>
  <si>
    <t>SysRS-1024</t>
  </si>
  <si>
    <t>SysRS-1026</t>
  </si>
  <si>
    <t>SysRS-1028</t>
  </si>
  <si>
    <t>SysRS-1030</t>
  </si>
  <si>
    <t>SysRS-1032</t>
  </si>
  <si>
    <t>SysRS-1034</t>
  </si>
  <si>
    <t>SysRS-1036</t>
  </si>
  <si>
    <t>SysRS-1038</t>
  </si>
  <si>
    <t>SysRS-1040</t>
  </si>
  <si>
    <t>SysRS-1042</t>
  </si>
  <si>
    <r>
      <t xml:space="preserve">Each employee number of </t>
    </r>
    <r>
      <rPr>
        <b/>
        <sz val="11"/>
        <color theme="1"/>
        <rFont val="Aptos Narrow"/>
        <family val="2"/>
        <scheme val="minor"/>
      </rPr>
      <t>dependen</t>
    </r>
    <r>
      <rPr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shall be included in the payroll information and associated with the employeeID</t>
    </r>
  </si>
  <si>
    <t>Weekly pay system shall be implemented</t>
  </si>
  <si>
    <t xml:space="preserve">Each Employee shall log hours worked per day in the Employee Hours Entry Portal. </t>
  </si>
  <si>
    <t>SwRS--0001</t>
  </si>
  <si>
    <t>SwRS--0002</t>
  </si>
  <si>
    <t>SwRS--0003</t>
  </si>
  <si>
    <t>SwRS--0004</t>
  </si>
  <si>
    <t>Non-Functional</t>
  </si>
  <si>
    <t>Non-Functional Requirements</t>
  </si>
  <si>
    <t>Header -NAR</t>
  </si>
  <si>
    <t>SysRS-1001</t>
  </si>
  <si>
    <t>SysRS-1002</t>
  </si>
  <si>
    <t>SysRS-1003</t>
  </si>
  <si>
    <t>SysRS-1004</t>
  </si>
  <si>
    <t>SysRS-1005</t>
  </si>
  <si>
    <t>SysRS-1006</t>
  </si>
  <si>
    <t>SysRS-1007</t>
  </si>
  <si>
    <t>SysRS-1008</t>
  </si>
  <si>
    <t>SysRS-1009</t>
  </si>
  <si>
    <t>SysRS-1010</t>
  </si>
  <si>
    <t>SysRS-1011</t>
  </si>
  <si>
    <t>SysRS-1012</t>
  </si>
  <si>
    <t>SysRS-1013</t>
  </si>
  <si>
    <t>SysRS-1014</t>
  </si>
  <si>
    <t>SysRS-1016</t>
  </si>
  <si>
    <t>SysRS-1018</t>
  </si>
  <si>
    <t>SysRS-1020</t>
  </si>
  <si>
    <t>SysRS-1022</t>
  </si>
  <si>
    <t>HR Manager shall have access to employee information and reports,</t>
  </si>
  <si>
    <t>The Engineering Manager shall have access to  payroll reports only direct reports.</t>
  </si>
  <si>
    <t>Each employee shall only be able to view their specific  time entry row based upon employeeID and lastFour of their social security ID</t>
  </si>
  <si>
    <t>Only the Payroll Administrator can approve payroll entries.</t>
  </si>
  <si>
    <t>Only the Payroll Administrator can update hourly rates per employee.</t>
  </si>
  <si>
    <t>Only the Payroll Administrator can update tax rates.</t>
  </si>
  <si>
    <t>Weekly Payroll Information</t>
  </si>
  <si>
    <t>Software Engineer</t>
  </si>
  <si>
    <t>Sr. SoftwareEngineer</t>
  </si>
  <si>
    <t>DataBase</t>
  </si>
  <si>
    <t>Database</t>
  </si>
  <si>
    <t xml:space="preserve">Software </t>
  </si>
  <si>
    <t>Database, Software</t>
  </si>
  <si>
    <t>Req. Status</t>
  </si>
  <si>
    <t xml:space="preserve">Database, Software </t>
  </si>
  <si>
    <t>NONE</t>
  </si>
  <si>
    <t>Status</t>
  </si>
  <si>
    <t>Draft</t>
  </si>
  <si>
    <t>Review</t>
  </si>
  <si>
    <t>ConditionallyApproved</t>
  </si>
  <si>
    <t>Approved</t>
  </si>
  <si>
    <t>Released</t>
  </si>
  <si>
    <t>TC-1002</t>
  </si>
  <si>
    <t>TC-1003</t>
  </si>
  <si>
    <t>TC-1004</t>
  </si>
  <si>
    <t>TC-1005</t>
  </si>
  <si>
    <t>TC-1006</t>
  </si>
  <si>
    <t>TC-1007</t>
  </si>
  <si>
    <t>TC-1008</t>
  </si>
  <si>
    <t>TC-1009</t>
  </si>
  <si>
    <t>TC-1010</t>
  </si>
  <si>
    <t>TC-S1101- Payroll ADMIN Access</t>
  </si>
  <si>
    <t>TC-S1102- HR Access</t>
  </si>
  <si>
    <t>TC-S1103 - Employee Access</t>
  </si>
  <si>
    <t>TS-A1105</t>
  </si>
  <si>
    <t>TS-D1202</t>
  </si>
  <si>
    <t>TS-D1203</t>
  </si>
  <si>
    <t>TS-D1204</t>
  </si>
  <si>
    <t>TS-D1205</t>
  </si>
  <si>
    <t>TS-D1206</t>
  </si>
  <si>
    <t>TS-D1207</t>
  </si>
  <si>
    <t>TS-D1208</t>
  </si>
  <si>
    <t>TS-D1209</t>
  </si>
  <si>
    <t>TS-D1210</t>
  </si>
  <si>
    <t>TC-S1104- EngMgr Access</t>
  </si>
  <si>
    <t>TC-1001  - SW Syntax</t>
  </si>
  <si>
    <t>N/A-NAR</t>
  </si>
  <si>
    <t>Database cardinality worst case shall be 1:M</t>
  </si>
  <si>
    <t>Performance</t>
  </si>
  <si>
    <t>Performance Requirements</t>
  </si>
  <si>
    <t>SysRS-1044</t>
  </si>
  <si>
    <t>SysRS-1046</t>
  </si>
  <si>
    <t>SysRS-1048</t>
  </si>
  <si>
    <t>SysRS-1050</t>
  </si>
  <si>
    <t>SysRS-1052</t>
  </si>
  <si>
    <t>Normalization level shall be 5NF</t>
  </si>
  <si>
    <t>SysRS-1054</t>
  </si>
  <si>
    <t>Pass/Fail</t>
  </si>
  <si>
    <t>PASS</t>
  </si>
  <si>
    <t>Pass w/ Condition</t>
  </si>
  <si>
    <t>Fail</t>
  </si>
  <si>
    <t>TS-P1301</t>
  </si>
  <si>
    <t>TS-P1302</t>
  </si>
  <si>
    <t>TS-P1303</t>
  </si>
  <si>
    <t>TS-P1304</t>
  </si>
  <si>
    <t>TS-P1305</t>
  </si>
  <si>
    <t xml:space="preserve">TS-D1201 - DB Syntax; </t>
  </si>
  <si>
    <t>TS-D1201 - DB Syntax; TC-1001  - SW Syntax</t>
  </si>
  <si>
    <t>Test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</si>
</sst>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70" formatCode="0.00;[Red]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0" fillId="0" borderId="0" xfId="0" applyNumberFormat="1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4E30-9E27-4F99-B4E2-7F675603ECCD}">
  <dimension ref="A1:V12"/>
  <sheetViews>
    <sheetView workbookViewId="0">
      <selection activeCell="F20" sqref="F20"/>
    </sheetView>
  </sheetViews>
  <sheetFormatPr defaultRowHeight="14.4" x14ac:dyDescent="0.3"/>
  <cols>
    <col min="1" max="1" width="21.21875" style="3" customWidth="1"/>
    <col min="2" max="2" width="9.77734375" style="3" bestFit="1" customWidth="1"/>
    <col min="3" max="3" width="9.5546875" style="3" bestFit="1" customWidth="1"/>
    <col min="4" max="4" width="18.44140625" style="3" bestFit="1" customWidth="1"/>
    <col min="5" max="5" width="10.21875" style="3" bestFit="1" customWidth="1"/>
    <col min="6" max="6" width="9.109375" style="3" bestFit="1" customWidth="1"/>
    <col min="7" max="7" width="9.5546875" style="3" bestFit="1" customWidth="1"/>
    <col min="8" max="8" width="11.33203125" style="3" bestFit="1" customWidth="1"/>
    <col min="9" max="9" width="6" style="3" bestFit="1" customWidth="1"/>
    <col min="10" max="10" width="4" style="3" bestFit="1" customWidth="1"/>
    <col min="11" max="11" width="4.6640625" style="3" bestFit="1" customWidth="1"/>
    <col min="12" max="12" width="9.77734375" style="3" bestFit="1" customWidth="1"/>
    <col min="13" max="13" width="7.77734375" style="3" bestFit="1" customWidth="1"/>
    <col min="14" max="14" width="8.44140625" style="3" bestFit="1" customWidth="1"/>
    <col min="15" max="15" width="9" style="3" bestFit="1" customWidth="1"/>
    <col min="16" max="16" width="7" style="3" bestFit="1" customWidth="1"/>
    <col min="17" max="17" width="7.6640625" style="3" bestFit="1" customWidth="1"/>
    <col min="18" max="18" width="4" style="3" bestFit="1" customWidth="1"/>
    <col min="19" max="19" width="14.6640625" style="3" bestFit="1" customWidth="1"/>
    <col min="20" max="20" width="11.77734375" style="3" bestFit="1" customWidth="1"/>
    <col min="21" max="21" width="11.88671875" style="3" bestFit="1" customWidth="1"/>
    <col min="22" max="22" width="11.21875" style="3" customWidth="1"/>
    <col min="23" max="16384" width="8.88671875" style="3"/>
  </cols>
  <sheetData>
    <row r="1" spans="1:22" s="9" customFormat="1" x14ac:dyDescent="0.3">
      <c r="B1" s="10" t="s">
        <v>37</v>
      </c>
      <c r="C1" s="10"/>
      <c r="F1" s="10" t="s">
        <v>4</v>
      </c>
      <c r="G1" s="10"/>
      <c r="H1" s="10"/>
      <c r="I1" s="10" t="s">
        <v>3</v>
      </c>
      <c r="J1" s="10"/>
      <c r="K1" s="10"/>
      <c r="L1" s="10" t="s">
        <v>5</v>
      </c>
      <c r="M1" s="10"/>
      <c r="N1" s="10"/>
      <c r="O1" s="10"/>
      <c r="P1" s="10"/>
      <c r="Q1" s="10"/>
    </row>
    <row r="2" spans="1:22" s="9" customFormat="1" x14ac:dyDescent="0.3">
      <c r="A2" s="9" t="s">
        <v>81</v>
      </c>
      <c r="B2" s="9" t="s">
        <v>80</v>
      </c>
      <c r="C2" s="9" t="s">
        <v>79</v>
      </c>
      <c r="D2" s="9" t="s">
        <v>13</v>
      </c>
      <c r="E2" s="9" t="s">
        <v>72</v>
      </c>
      <c r="F2" s="9" t="s">
        <v>78</v>
      </c>
      <c r="G2" s="9" t="s">
        <v>77</v>
      </c>
      <c r="H2" s="9" t="s">
        <v>76</v>
      </c>
      <c r="I2" s="9" t="s">
        <v>0</v>
      </c>
      <c r="J2" s="9" t="s">
        <v>1</v>
      </c>
      <c r="K2" s="9" t="s">
        <v>2</v>
      </c>
      <c r="L2" s="9" t="s">
        <v>6</v>
      </c>
      <c r="M2" s="9" t="s">
        <v>7</v>
      </c>
      <c r="N2" s="9" t="s">
        <v>8</v>
      </c>
      <c r="O2" s="9" t="s">
        <v>9</v>
      </c>
      <c r="P2" s="9" t="s">
        <v>10</v>
      </c>
      <c r="Q2" s="9" t="s">
        <v>11</v>
      </c>
      <c r="R2" s="9" t="s">
        <v>12</v>
      </c>
      <c r="S2" s="9" t="s">
        <v>29</v>
      </c>
      <c r="T2" s="9" t="s">
        <v>32</v>
      </c>
      <c r="U2" s="9" t="s">
        <v>49</v>
      </c>
      <c r="V2" s="9" t="s">
        <v>50</v>
      </c>
    </row>
    <row r="3" spans="1:22" x14ac:dyDescent="0.3">
      <c r="A3" s="3" t="s">
        <v>51</v>
      </c>
      <c r="B3" s="3" t="s">
        <v>43</v>
      </c>
      <c r="C3" s="3" t="s">
        <v>44</v>
      </c>
      <c r="D3" s="3" t="s">
        <v>176</v>
      </c>
      <c r="E3" s="6">
        <v>48</v>
      </c>
      <c r="F3" s="3">
        <v>307</v>
      </c>
      <c r="G3" s="3">
        <v>12</v>
      </c>
      <c r="H3" s="7">
        <v>1234</v>
      </c>
      <c r="R3" s="3" t="s">
        <v>33</v>
      </c>
      <c r="S3" s="3" t="s">
        <v>58</v>
      </c>
      <c r="T3" s="3" t="s">
        <v>47</v>
      </c>
      <c r="U3" s="3" t="s">
        <v>82</v>
      </c>
      <c r="V3" s="3">
        <v>3</v>
      </c>
    </row>
    <row r="4" spans="1:22" x14ac:dyDescent="0.3">
      <c r="A4" s="3" t="s">
        <v>52</v>
      </c>
      <c r="B4" s="3" t="s">
        <v>21</v>
      </c>
      <c r="C4" s="3" t="s">
        <v>25</v>
      </c>
      <c r="D4" s="3" t="s">
        <v>100</v>
      </c>
      <c r="E4" s="6">
        <v>25</v>
      </c>
      <c r="F4" s="3">
        <v>317</v>
      </c>
      <c r="G4" s="3">
        <v>17</v>
      </c>
      <c r="H4" s="7">
        <v>3024</v>
      </c>
      <c r="R4" s="3" t="s">
        <v>33</v>
      </c>
      <c r="S4" s="3" t="s">
        <v>59</v>
      </c>
      <c r="T4" s="3" t="s">
        <v>47</v>
      </c>
      <c r="U4" s="3" t="s">
        <v>45</v>
      </c>
      <c r="V4" s="3">
        <v>4</v>
      </c>
    </row>
    <row r="5" spans="1:22" x14ac:dyDescent="0.3">
      <c r="A5" s="3" t="s">
        <v>54</v>
      </c>
      <c r="B5" s="3" t="s">
        <v>20</v>
      </c>
      <c r="C5" s="3" t="s">
        <v>17</v>
      </c>
      <c r="D5" s="3" t="s">
        <v>38</v>
      </c>
      <c r="E5" s="6">
        <v>37.5</v>
      </c>
      <c r="F5" s="3">
        <v>327</v>
      </c>
      <c r="G5" s="3">
        <v>22</v>
      </c>
      <c r="H5" s="7">
        <v>3184</v>
      </c>
      <c r="R5" s="3" t="s">
        <v>45</v>
      </c>
      <c r="S5" s="3" t="s">
        <v>59</v>
      </c>
      <c r="T5" s="3" t="s">
        <v>47</v>
      </c>
      <c r="U5" s="3" t="s">
        <v>45</v>
      </c>
      <c r="V5" s="3">
        <v>2</v>
      </c>
    </row>
    <row r="6" spans="1:22" x14ac:dyDescent="0.3">
      <c r="A6" s="3" t="s">
        <v>53</v>
      </c>
      <c r="B6" s="3" t="s">
        <v>23</v>
      </c>
      <c r="C6" s="3" t="s">
        <v>27</v>
      </c>
      <c r="D6" s="3" t="s">
        <v>40</v>
      </c>
      <c r="E6" s="6">
        <v>60</v>
      </c>
      <c r="F6" s="3">
        <v>337</v>
      </c>
      <c r="G6" s="3">
        <v>27</v>
      </c>
      <c r="H6" s="7">
        <v>4295</v>
      </c>
      <c r="R6" s="3" t="s">
        <v>45</v>
      </c>
      <c r="S6" s="3" t="s">
        <v>58</v>
      </c>
      <c r="T6" s="3" t="s">
        <v>47</v>
      </c>
      <c r="U6" s="3" t="s">
        <v>45</v>
      </c>
      <c r="V6" s="3">
        <v>1</v>
      </c>
    </row>
    <row r="7" spans="1:22" x14ac:dyDescent="0.3">
      <c r="A7" s="3" t="s">
        <v>55</v>
      </c>
      <c r="B7" s="3" t="s">
        <v>41</v>
      </c>
      <c r="C7" s="3" t="s">
        <v>42</v>
      </c>
      <c r="D7" s="3" t="s">
        <v>175</v>
      </c>
      <c r="E7" s="6">
        <v>42</v>
      </c>
      <c r="F7" s="3">
        <v>347</v>
      </c>
      <c r="G7" s="3">
        <v>32</v>
      </c>
      <c r="H7" s="7">
        <v>6743</v>
      </c>
      <c r="R7" s="3" t="s">
        <v>33</v>
      </c>
      <c r="S7" s="3" t="s">
        <v>59</v>
      </c>
      <c r="T7" s="3" t="s">
        <v>47</v>
      </c>
      <c r="U7" s="3" t="s">
        <v>45</v>
      </c>
      <c r="V7" s="3">
        <v>8</v>
      </c>
    </row>
    <row r="8" spans="1:22" x14ac:dyDescent="0.3">
      <c r="A8" s="3" t="s">
        <v>56</v>
      </c>
      <c r="B8" s="3" t="s">
        <v>24</v>
      </c>
      <c r="C8" s="3" t="s">
        <v>28</v>
      </c>
      <c r="D8" s="3" t="s">
        <v>35</v>
      </c>
      <c r="E8" s="6">
        <v>22.5</v>
      </c>
      <c r="F8" s="3">
        <v>357</v>
      </c>
      <c r="G8" s="3">
        <v>37</v>
      </c>
      <c r="H8" s="7">
        <v>5634</v>
      </c>
      <c r="R8" s="3" t="s">
        <v>45</v>
      </c>
      <c r="S8" s="3" t="s">
        <v>59</v>
      </c>
      <c r="T8" s="3" t="s">
        <v>48</v>
      </c>
      <c r="U8" s="3" t="s">
        <v>45</v>
      </c>
      <c r="V8" s="3">
        <v>4</v>
      </c>
    </row>
    <row r="9" spans="1:22" x14ac:dyDescent="0.3">
      <c r="A9" s="3" t="s">
        <v>60</v>
      </c>
      <c r="B9" s="3" t="s">
        <v>30</v>
      </c>
      <c r="C9" s="3" t="s">
        <v>31</v>
      </c>
      <c r="D9" s="3" t="s">
        <v>36</v>
      </c>
      <c r="E9" s="6">
        <v>39.75</v>
      </c>
      <c r="F9" s="3">
        <v>367</v>
      </c>
      <c r="G9" s="3">
        <v>42</v>
      </c>
      <c r="H9" s="7">
        <v>2341</v>
      </c>
      <c r="R9" s="3" t="s">
        <v>45</v>
      </c>
      <c r="S9" s="8" t="s">
        <v>57</v>
      </c>
      <c r="T9" s="3" t="s">
        <v>46</v>
      </c>
      <c r="U9" s="3" t="s">
        <v>82</v>
      </c>
      <c r="V9" s="3">
        <v>3</v>
      </c>
    </row>
    <row r="10" spans="1:22" x14ac:dyDescent="0.3">
      <c r="A10" s="3" t="s">
        <v>61</v>
      </c>
      <c r="B10" s="3" t="s">
        <v>26</v>
      </c>
      <c r="C10" s="3" t="s">
        <v>18</v>
      </c>
      <c r="D10" s="3" t="s">
        <v>39</v>
      </c>
      <c r="E10" s="6">
        <v>46</v>
      </c>
      <c r="F10" s="3">
        <v>377</v>
      </c>
      <c r="G10" s="3">
        <v>47</v>
      </c>
      <c r="H10" s="7">
        <v>4256</v>
      </c>
      <c r="R10" s="3" t="s">
        <v>45</v>
      </c>
      <c r="S10" s="3" t="s">
        <v>58</v>
      </c>
      <c r="T10" s="3" t="s">
        <v>47</v>
      </c>
      <c r="U10" s="3" t="s">
        <v>45</v>
      </c>
      <c r="V10" s="3">
        <v>5</v>
      </c>
    </row>
    <row r="11" spans="1:22" x14ac:dyDescent="0.3">
      <c r="A11" s="3" t="s">
        <v>62</v>
      </c>
      <c r="B11" s="3" t="s">
        <v>22</v>
      </c>
      <c r="C11" s="3" t="s">
        <v>18</v>
      </c>
      <c r="D11" s="3" t="s">
        <v>34</v>
      </c>
      <c r="E11" s="6">
        <v>23.5</v>
      </c>
      <c r="F11" s="3">
        <v>387</v>
      </c>
      <c r="G11" s="3">
        <v>52</v>
      </c>
      <c r="H11" s="7">
        <v>2035</v>
      </c>
      <c r="R11" s="3" t="s">
        <v>45</v>
      </c>
      <c r="S11" s="3" t="s">
        <v>59</v>
      </c>
      <c r="T11" s="3" t="s">
        <v>47</v>
      </c>
      <c r="U11" s="3" t="s">
        <v>45</v>
      </c>
      <c r="V11" s="3">
        <v>2</v>
      </c>
    </row>
    <row r="12" spans="1:22" x14ac:dyDescent="0.3">
      <c r="A12" s="3" t="s">
        <v>63</v>
      </c>
      <c r="B12" s="3" t="s">
        <v>19</v>
      </c>
      <c r="C12" s="3" t="s">
        <v>16</v>
      </c>
      <c r="D12" s="3" t="s">
        <v>99</v>
      </c>
      <c r="E12" s="6">
        <v>40</v>
      </c>
      <c r="F12" s="3">
        <v>397</v>
      </c>
      <c r="G12" s="3">
        <v>57</v>
      </c>
      <c r="H12" s="7">
        <v>4578</v>
      </c>
      <c r="R12" s="3" t="s">
        <v>33</v>
      </c>
      <c r="S12" s="3" t="s">
        <v>59</v>
      </c>
      <c r="T12" s="3" t="s">
        <v>47</v>
      </c>
      <c r="U12" s="3" t="s">
        <v>82</v>
      </c>
      <c r="V12" s="3">
        <v>2</v>
      </c>
    </row>
  </sheetData>
  <sortState xmlns:xlrd2="http://schemas.microsoft.com/office/spreadsheetml/2017/richdata2" ref="B3:E12">
    <sortCondition ref="C3:C12"/>
  </sortState>
  <mergeCells count="4">
    <mergeCell ref="F1:H1"/>
    <mergeCell ref="L1:Q1"/>
    <mergeCell ref="B1:C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FFFD-5A3B-40B5-930D-7A3AAB247294}">
  <dimension ref="A1:T12"/>
  <sheetViews>
    <sheetView workbookViewId="0">
      <selection activeCell="D3" sqref="D3"/>
    </sheetView>
  </sheetViews>
  <sheetFormatPr defaultRowHeight="14.4" x14ac:dyDescent="0.3"/>
  <cols>
    <col min="1" max="1" width="11.77734375" customWidth="1"/>
    <col min="2" max="2" width="14.109375" bestFit="1" customWidth="1"/>
    <col min="4" max="4" width="18.44140625" bestFit="1" customWidth="1"/>
    <col min="5" max="5" width="6.77734375" bestFit="1" customWidth="1"/>
    <col min="6" max="6" width="9.109375" bestFit="1" customWidth="1"/>
    <col min="7" max="7" width="9.5546875" bestFit="1" customWidth="1"/>
    <col min="8" max="8" width="8" bestFit="1" customWidth="1"/>
    <col min="9" max="9" width="10.6640625" style="3" bestFit="1" customWidth="1"/>
    <col min="10" max="10" width="10.6640625" style="3" customWidth="1"/>
    <col min="11" max="11" width="16.6640625" bestFit="1" customWidth="1"/>
    <col min="12" max="12" width="8.44140625" style="3" bestFit="1" customWidth="1"/>
    <col min="13" max="13" width="9.109375" bestFit="1" customWidth="1"/>
    <col min="14" max="14" width="7.5546875" customWidth="1"/>
    <col min="15" max="15" width="9.109375" style="1" bestFit="1" customWidth="1"/>
    <col min="16" max="16" width="10.44140625" style="1" bestFit="1" customWidth="1"/>
    <col min="17" max="18" width="10.44140625" style="1" customWidth="1"/>
    <col min="19" max="19" width="9.109375" bestFit="1" customWidth="1"/>
    <col min="20" max="20" width="13.44140625" customWidth="1"/>
  </cols>
  <sheetData>
    <row r="1" spans="1:20" x14ac:dyDescent="0.3">
      <c r="A1" s="11"/>
      <c r="B1" s="12" t="str">
        <f>Demographics!B1</f>
        <v>Employee Name</v>
      </c>
      <c r="C1" s="12"/>
      <c r="D1" s="11"/>
      <c r="E1" s="11"/>
      <c r="F1" s="12" t="str">
        <f>Demographics!F1</f>
        <v>Social Security ID</v>
      </c>
      <c r="G1" s="12"/>
      <c r="H1" s="12"/>
      <c r="I1" s="27" t="s">
        <v>174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s="3" customFormat="1" x14ac:dyDescent="0.3">
      <c r="A2" s="13" t="str">
        <f>Demographics!A2</f>
        <v>employeeID</v>
      </c>
      <c r="B2" s="13" t="str">
        <f>Demographics!B2</f>
        <v>firstName</v>
      </c>
      <c r="C2" s="13" t="str">
        <f>Demographics!C2</f>
        <v>last Name</v>
      </c>
      <c r="D2" s="13" t="str">
        <f>Demographics!D2</f>
        <v>Position</v>
      </c>
      <c r="E2" s="13" t="str">
        <f>Demographics!E2</f>
        <v>hrRate</v>
      </c>
      <c r="F2" s="13" t="str">
        <f>Demographics!F2</f>
        <v>firstThree</v>
      </c>
      <c r="G2" s="13" t="str">
        <f>Demographics!G2</f>
        <v>middleTwo</v>
      </c>
      <c r="H2" s="13" t="str">
        <f>Demographics!H2</f>
        <v>lastFour</v>
      </c>
      <c r="I2" s="13" t="str">
        <f>Demographics!V2</f>
        <v>Dependents</v>
      </c>
      <c r="J2" s="13" t="str">
        <f>EmployeeHoursEntry!N2</f>
        <v>hrsWorked</v>
      </c>
      <c r="K2" s="13" t="s">
        <v>68</v>
      </c>
      <c r="L2" s="13" t="s">
        <v>67</v>
      </c>
      <c r="M2" s="9" t="s">
        <v>75</v>
      </c>
      <c r="N2" s="13" t="s">
        <v>74</v>
      </c>
      <c r="O2" s="13" t="s">
        <v>69</v>
      </c>
      <c r="P2" s="13" t="s">
        <v>70</v>
      </c>
      <c r="Q2" s="13" t="s">
        <v>84</v>
      </c>
      <c r="R2" s="13" t="s">
        <v>85</v>
      </c>
      <c r="S2" s="13" t="s">
        <v>71</v>
      </c>
      <c r="T2" s="13" t="s">
        <v>73</v>
      </c>
    </row>
    <row r="3" spans="1:20" x14ac:dyDescent="0.3">
      <c r="A3" t="str">
        <f>Demographics!A3</f>
        <v>C0101</v>
      </c>
      <c r="B3" t="str">
        <f>Demographics!B3</f>
        <v xml:space="preserve">Terry </v>
      </c>
      <c r="C3" t="str">
        <f>Demographics!C3</f>
        <v>Baker</v>
      </c>
      <c r="D3" t="str">
        <f>Demographics!D3</f>
        <v>Sr. SoftwareEngineer</v>
      </c>
      <c r="E3" s="6">
        <f>Demographics!E3</f>
        <v>48</v>
      </c>
      <c r="F3" s="3">
        <f>Demographics!F3</f>
        <v>307</v>
      </c>
      <c r="G3" s="3">
        <f>Demographics!G3</f>
        <v>12</v>
      </c>
      <c r="H3" s="3">
        <f>Demographics!H3</f>
        <v>1234</v>
      </c>
      <c r="I3" s="3">
        <f>Demographics!V3</f>
        <v>3</v>
      </c>
      <c r="J3" s="3">
        <f>EmployeeHoursEntry!N3</f>
        <v>50</v>
      </c>
      <c r="K3" s="1">
        <f>IF((J3&gt;=40),40,J3)</f>
        <v>40</v>
      </c>
      <c r="L3" s="3">
        <f xml:space="preserve"> IF(J3&gt;40,(J3-40),0)</f>
        <v>10</v>
      </c>
      <c r="M3" s="4">
        <f>K3*E3</f>
        <v>1920</v>
      </c>
      <c r="N3" s="4">
        <f>1.5*E3*L3</f>
        <v>720</v>
      </c>
      <c r="O3" s="15">
        <v>5.6000000000000001E-2</v>
      </c>
      <c r="P3" s="15">
        <v>7.9000000000000001E-2</v>
      </c>
      <c r="Q3" s="5">
        <f>S3*O3</f>
        <v>147.84</v>
      </c>
      <c r="R3" s="5">
        <f>S3*P3</f>
        <v>208.56</v>
      </c>
      <c r="S3" s="4">
        <f>M3+N3</f>
        <v>2640</v>
      </c>
      <c r="T3" s="4">
        <f>S3-Q3-R3</f>
        <v>2283.6</v>
      </c>
    </row>
    <row r="4" spans="1:20" x14ac:dyDescent="0.3">
      <c r="A4" t="str">
        <f>Demographics!A4</f>
        <v>C0105</v>
      </c>
      <c r="B4" t="str">
        <f>Demographics!B4</f>
        <v>Sue</v>
      </c>
      <c r="C4" t="str">
        <f>Demographics!C4</f>
        <v>Cox</v>
      </c>
      <c r="D4" t="str">
        <f>Demographics!D4</f>
        <v>HR Manager</v>
      </c>
      <c r="E4" s="6">
        <f>Demographics!E4</f>
        <v>25</v>
      </c>
      <c r="F4" s="3">
        <f>Demographics!F4</f>
        <v>317</v>
      </c>
      <c r="G4" s="3">
        <f>Demographics!G4</f>
        <v>17</v>
      </c>
      <c r="H4" s="3">
        <f>Demographics!H4</f>
        <v>3024</v>
      </c>
      <c r="I4" s="3">
        <f>Demographics!V4</f>
        <v>4</v>
      </c>
      <c r="J4" s="3">
        <f>EmployeeHoursEntry!N4</f>
        <v>30</v>
      </c>
      <c r="K4" s="1">
        <f t="shared" ref="K4:K12" si="0">IF((J4&gt;=40),40,J4)</f>
        <v>30</v>
      </c>
      <c r="L4" s="3">
        <f t="shared" ref="L4:L12" si="1" xml:space="preserve"> IF(J4&gt;40,(J4-40),0)</f>
        <v>0</v>
      </c>
      <c r="M4" s="4">
        <f t="shared" ref="M4:M12" si="2">K4*E4</f>
        <v>750</v>
      </c>
      <c r="N4" s="4">
        <f t="shared" ref="N4:N12" si="3">1.5*E4*L4</f>
        <v>0</v>
      </c>
      <c r="O4" s="15">
        <v>5.6000000000000001E-2</v>
      </c>
      <c r="P4" s="15">
        <v>7.9000000000000001E-2</v>
      </c>
      <c r="Q4" s="5">
        <f t="shared" ref="Q4:Q12" si="4">S4*O4</f>
        <v>42</v>
      </c>
      <c r="R4" s="5">
        <f t="shared" ref="R4:R12" si="5">S4*P4</f>
        <v>59.25</v>
      </c>
      <c r="S4" s="4">
        <f t="shared" ref="S4:S12" si="6">M4+N4</f>
        <v>750</v>
      </c>
      <c r="T4" s="4">
        <f t="shared" ref="T4:T12" si="7">S4-Q4-R4</f>
        <v>648.75</v>
      </c>
    </row>
    <row r="5" spans="1:20" x14ac:dyDescent="0.3">
      <c r="A5" t="str">
        <f>Demographics!A5</f>
        <v>C0109</v>
      </c>
      <c r="B5" t="str">
        <f>Demographics!B5</f>
        <v>Dick</v>
      </c>
      <c r="C5" t="str">
        <f>Demographics!C5</f>
        <v>Jones</v>
      </c>
      <c r="D5" t="str">
        <f>Demographics!D5</f>
        <v>Test Engineer</v>
      </c>
      <c r="E5" s="6">
        <f>Demographics!E5</f>
        <v>37.5</v>
      </c>
      <c r="F5" s="3">
        <f>Demographics!F5</f>
        <v>327</v>
      </c>
      <c r="G5" s="3">
        <f>Demographics!G5</f>
        <v>22</v>
      </c>
      <c r="H5" s="3">
        <f>Demographics!H5</f>
        <v>3184</v>
      </c>
      <c r="I5" s="3">
        <f>Demographics!V5</f>
        <v>2</v>
      </c>
      <c r="J5" s="3">
        <f>EmployeeHoursEntry!N5</f>
        <v>55</v>
      </c>
      <c r="K5" s="1">
        <f t="shared" si="0"/>
        <v>40</v>
      </c>
      <c r="L5" s="3">
        <f t="shared" si="1"/>
        <v>15</v>
      </c>
      <c r="M5" s="4">
        <f t="shared" si="2"/>
        <v>1500</v>
      </c>
      <c r="N5" s="4">
        <f t="shared" si="3"/>
        <v>843.75</v>
      </c>
      <c r="O5" s="15">
        <v>5.6000000000000001E-2</v>
      </c>
      <c r="P5" s="15">
        <v>7.9000000000000001E-2</v>
      </c>
      <c r="Q5" s="5">
        <f t="shared" si="4"/>
        <v>131.25</v>
      </c>
      <c r="R5" s="5">
        <f t="shared" si="5"/>
        <v>185.15625</v>
      </c>
      <c r="S5" s="4">
        <f t="shared" si="6"/>
        <v>2343.75</v>
      </c>
      <c r="T5" s="4">
        <f t="shared" si="7"/>
        <v>2027.34375</v>
      </c>
    </row>
    <row r="6" spans="1:20" x14ac:dyDescent="0.3">
      <c r="A6" t="str">
        <f>Demographics!A6</f>
        <v>C0108</v>
      </c>
      <c r="B6" t="str">
        <f>Demographics!B6</f>
        <v>Phillip</v>
      </c>
      <c r="C6" t="str">
        <f>Demographics!C6</f>
        <v>Moore</v>
      </c>
      <c r="D6" t="str">
        <f>Demographics!D6</f>
        <v>Engineering Manager</v>
      </c>
      <c r="E6" s="6">
        <f>Demographics!E6</f>
        <v>60</v>
      </c>
      <c r="F6" s="3">
        <f>Demographics!F6</f>
        <v>337</v>
      </c>
      <c r="G6" s="3">
        <f>Demographics!G6</f>
        <v>27</v>
      </c>
      <c r="H6" s="3">
        <f>Demographics!H6</f>
        <v>4295</v>
      </c>
      <c r="I6" s="3">
        <f>Demographics!V6</f>
        <v>1</v>
      </c>
      <c r="J6" s="3">
        <f>EmployeeHoursEntry!N6</f>
        <v>48</v>
      </c>
      <c r="K6" s="1">
        <f t="shared" si="0"/>
        <v>40</v>
      </c>
      <c r="L6" s="3">
        <f t="shared" si="1"/>
        <v>8</v>
      </c>
      <c r="M6" s="4">
        <f t="shared" si="2"/>
        <v>2400</v>
      </c>
      <c r="N6" s="4">
        <f t="shared" si="3"/>
        <v>720</v>
      </c>
      <c r="O6" s="15">
        <v>5.6000000000000001E-2</v>
      </c>
      <c r="P6" s="15">
        <v>7.9000000000000001E-2</v>
      </c>
      <c r="Q6" s="5">
        <f t="shared" si="4"/>
        <v>174.72</v>
      </c>
      <c r="R6" s="5">
        <f t="shared" si="5"/>
        <v>246.48</v>
      </c>
      <c r="S6" s="4">
        <f t="shared" si="6"/>
        <v>3120</v>
      </c>
      <c r="T6" s="4">
        <f t="shared" si="7"/>
        <v>2698.8</v>
      </c>
    </row>
    <row r="7" spans="1:20" x14ac:dyDescent="0.3">
      <c r="A7" t="str">
        <f>Demographics!A7</f>
        <v>C0102</v>
      </c>
      <c r="B7" t="str">
        <f>Demographics!B7</f>
        <v>Melissa</v>
      </c>
      <c r="C7" t="str">
        <f>Demographics!C7</f>
        <v>Neemah</v>
      </c>
      <c r="D7" t="str">
        <f>Demographics!D7</f>
        <v>Software Engineer</v>
      </c>
      <c r="E7" s="6">
        <f>Demographics!E7</f>
        <v>42</v>
      </c>
      <c r="F7" s="3">
        <f>Demographics!F7</f>
        <v>347</v>
      </c>
      <c r="G7" s="3">
        <f>Demographics!G7</f>
        <v>32</v>
      </c>
      <c r="H7" s="3">
        <f>Demographics!H7</f>
        <v>6743</v>
      </c>
      <c r="I7" s="3">
        <f>Demographics!V7</f>
        <v>8</v>
      </c>
      <c r="J7" s="3">
        <f>EmployeeHoursEntry!N7</f>
        <v>52</v>
      </c>
      <c r="K7" s="1">
        <f t="shared" si="0"/>
        <v>40</v>
      </c>
      <c r="L7" s="3">
        <f t="shared" si="1"/>
        <v>12</v>
      </c>
      <c r="M7" s="4">
        <f t="shared" si="2"/>
        <v>1680</v>
      </c>
      <c r="N7" s="4">
        <f t="shared" si="3"/>
        <v>756</v>
      </c>
      <c r="O7" s="15">
        <v>5.6000000000000001E-2</v>
      </c>
      <c r="P7" s="15">
        <v>7.9000000000000001E-2</v>
      </c>
      <c r="Q7" s="5">
        <f t="shared" si="4"/>
        <v>136.416</v>
      </c>
      <c r="R7" s="5">
        <f t="shared" si="5"/>
        <v>192.44399999999999</v>
      </c>
      <c r="S7" s="4">
        <f t="shared" si="6"/>
        <v>2436</v>
      </c>
      <c r="T7" s="4">
        <f t="shared" si="7"/>
        <v>2107.14</v>
      </c>
    </row>
    <row r="8" spans="1:20" x14ac:dyDescent="0.3">
      <c r="A8" t="str">
        <f>Demographics!A8</f>
        <v>C0103</v>
      </c>
      <c r="B8" t="str">
        <f>Demographics!B8</f>
        <v>David</v>
      </c>
      <c r="C8" t="str">
        <f>Demographics!C8</f>
        <v>Rocheleau</v>
      </c>
      <c r="D8" t="str">
        <f>Demographics!D8</f>
        <v>Electronic Technician</v>
      </c>
      <c r="E8" s="6">
        <f>Demographics!E8</f>
        <v>22.5</v>
      </c>
      <c r="F8" s="3">
        <f>Demographics!F8</f>
        <v>357</v>
      </c>
      <c r="G8" s="3">
        <f>Demographics!G8</f>
        <v>37</v>
      </c>
      <c r="H8" s="3">
        <f>Demographics!H8</f>
        <v>5634</v>
      </c>
      <c r="I8" s="3">
        <f>Demographics!V8</f>
        <v>4</v>
      </c>
      <c r="J8" s="3">
        <f>EmployeeHoursEntry!N8</f>
        <v>40</v>
      </c>
      <c r="K8" s="1">
        <f t="shared" si="0"/>
        <v>40</v>
      </c>
      <c r="L8" s="3">
        <f t="shared" si="1"/>
        <v>0</v>
      </c>
      <c r="M8" s="4">
        <f t="shared" si="2"/>
        <v>900</v>
      </c>
      <c r="N8" s="4">
        <f t="shared" si="3"/>
        <v>0</v>
      </c>
      <c r="O8" s="15">
        <v>5.6000000000000001E-2</v>
      </c>
      <c r="P8" s="15">
        <v>7.9000000000000001E-2</v>
      </c>
      <c r="Q8" s="5">
        <f t="shared" si="4"/>
        <v>50.4</v>
      </c>
      <c r="R8" s="5">
        <f t="shared" si="5"/>
        <v>71.099999999999994</v>
      </c>
      <c r="S8" s="4">
        <f t="shared" si="6"/>
        <v>900</v>
      </c>
      <c r="T8" s="4">
        <f t="shared" si="7"/>
        <v>778.5</v>
      </c>
    </row>
    <row r="9" spans="1:20" x14ac:dyDescent="0.3">
      <c r="A9" t="str">
        <f>Demographics!A9</f>
        <v>C0107</v>
      </c>
      <c r="B9" t="str">
        <f>Demographics!B9</f>
        <v>Hector</v>
      </c>
      <c r="C9" t="str">
        <f>Demographics!C9</f>
        <v>Rodrigues</v>
      </c>
      <c r="D9" t="str">
        <f>Demographics!D9</f>
        <v>Quality Engineer</v>
      </c>
      <c r="E9" s="6">
        <f>Demographics!E9</f>
        <v>39.75</v>
      </c>
      <c r="F9" s="3">
        <f>Demographics!F9</f>
        <v>367</v>
      </c>
      <c r="G9" s="3">
        <f>Demographics!G9</f>
        <v>42</v>
      </c>
      <c r="H9" s="3">
        <f>Demographics!H9</f>
        <v>2341</v>
      </c>
      <c r="I9" s="3">
        <f>Demographics!V9</f>
        <v>3</v>
      </c>
      <c r="J9" s="3">
        <f>EmployeeHoursEntry!N9</f>
        <v>54</v>
      </c>
      <c r="K9" s="1">
        <f t="shared" si="0"/>
        <v>40</v>
      </c>
      <c r="L9" s="3">
        <f t="shared" si="1"/>
        <v>14</v>
      </c>
      <c r="M9" s="4">
        <f t="shared" si="2"/>
        <v>1590</v>
      </c>
      <c r="N9" s="4">
        <f t="shared" si="3"/>
        <v>834.75</v>
      </c>
      <c r="O9" s="15">
        <v>5.6000000000000001E-2</v>
      </c>
      <c r="P9" s="15">
        <v>7.9000000000000001E-2</v>
      </c>
      <c r="Q9" s="5">
        <f t="shared" si="4"/>
        <v>135.786</v>
      </c>
      <c r="R9" s="5">
        <f t="shared" si="5"/>
        <v>191.55525</v>
      </c>
      <c r="S9" s="4">
        <f t="shared" si="6"/>
        <v>2424.75</v>
      </c>
      <c r="T9" s="4">
        <f t="shared" si="7"/>
        <v>2097.4087500000001</v>
      </c>
    </row>
    <row r="10" spans="1:20" x14ac:dyDescent="0.3">
      <c r="A10" t="str">
        <f>Demographics!A10</f>
        <v>C0110</v>
      </c>
      <c r="B10" t="str">
        <f>Demographics!B10</f>
        <v>Bruce</v>
      </c>
      <c r="C10" t="str">
        <f>Demographics!C10</f>
        <v>Rogers</v>
      </c>
      <c r="D10" t="str">
        <f>Demographics!D10</f>
        <v>System Engineer</v>
      </c>
      <c r="E10" s="6">
        <f>Demographics!E10</f>
        <v>46</v>
      </c>
      <c r="F10" s="3">
        <f>Demographics!F10</f>
        <v>377</v>
      </c>
      <c r="G10" s="3">
        <f>Demographics!G10</f>
        <v>47</v>
      </c>
      <c r="H10" s="3">
        <f>Demographics!H10</f>
        <v>4256</v>
      </c>
      <c r="I10" s="3">
        <f>Demographics!V10</f>
        <v>5</v>
      </c>
      <c r="J10" s="3">
        <f>EmployeeHoursEntry!N10</f>
        <v>45</v>
      </c>
      <c r="K10" s="1">
        <f t="shared" si="0"/>
        <v>40</v>
      </c>
      <c r="L10" s="3">
        <f t="shared" si="1"/>
        <v>5</v>
      </c>
      <c r="M10" s="4">
        <f t="shared" si="2"/>
        <v>1840</v>
      </c>
      <c r="N10" s="4">
        <f t="shared" si="3"/>
        <v>345</v>
      </c>
      <c r="O10" s="15">
        <v>5.6000000000000001E-2</v>
      </c>
      <c r="P10" s="15">
        <v>7.9000000000000001E-2</v>
      </c>
      <c r="Q10" s="5">
        <f t="shared" si="4"/>
        <v>122.36</v>
      </c>
      <c r="R10" s="5">
        <f t="shared" si="5"/>
        <v>172.61500000000001</v>
      </c>
      <c r="S10" s="4">
        <f t="shared" si="6"/>
        <v>2185</v>
      </c>
      <c r="T10" s="4">
        <f t="shared" si="7"/>
        <v>1890.0249999999999</v>
      </c>
    </row>
    <row r="11" spans="1:20" x14ac:dyDescent="0.3">
      <c r="A11" t="str">
        <f>Demographics!A11</f>
        <v>C0111</v>
      </c>
      <c r="B11" t="str">
        <f>Demographics!B11</f>
        <v>Mary</v>
      </c>
      <c r="C11" t="str">
        <f>Demographics!C11</f>
        <v>Rogers</v>
      </c>
      <c r="D11" t="str">
        <f>Demographics!D11</f>
        <v>Executive Secretary</v>
      </c>
      <c r="E11" s="6">
        <f>Demographics!E11</f>
        <v>23.5</v>
      </c>
      <c r="F11" s="3">
        <f>Demographics!F11</f>
        <v>387</v>
      </c>
      <c r="G11" s="3">
        <f>Demographics!G11</f>
        <v>52</v>
      </c>
      <c r="H11" s="3">
        <f>Demographics!H11</f>
        <v>2035</v>
      </c>
      <c r="I11" s="3">
        <f>Demographics!V11</f>
        <v>2</v>
      </c>
      <c r="J11" s="3">
        <f>EmployeeHoursEntry!N11</f>
        <v>30</v>
      </c>
      <c r="K11" s="1">
        <f t="shared" si="0"/>
        <v>30</v>
      </c>
      <c r="L11" s="3">
        <f t="shared" si="1"/>
        <v>0</v>
      </c>
      <c r="M11" s="4">
        <f t="shared" si="2"/>
        <v>705</v>
      </c>
      <c r="N11" s="4">
        <f t="shared" si="3"/>
        <v>0</v>
      </c>
      <c r="O11" s="15">
        <v>5.6000000000000001E-2</v>
      </c>
      <c r="P11" s="15">
        <v>7.9000000000000001E-2</v>
      </c>
      <c r="Q11" s="5">
        <f t="shared" si="4"/>
        <v>39.480000000000004</v>
      </c>
      <c r="R11" s="5">
        <f t="shared" si="5"/>
        <v>55.695</v>
      </c>
      <c r="S11" s="4">
        <f t="shared" si="6"/>
        <v>705</v>
      </c>
      <c r="T11" s="4">
        <f t="shared" si="7"/>
        <v>609.82499999999993</v>
      </c>
    </row>
    <row r="12" spans="1:20" x14ac:dyDescent="0.3">
      <c r="A12" t="str">
        <f>Demographics!A12</f>
        <v>C0115</v>
      </c>
      <c r="B12" t="str">
        <f>Demographics!B12</f>
        <v>Tom</v>
      </c>
      <c r="C12" t="str">
        <f>Demographics!C12</f>
        <v>Smith</v>
      </c>
      <c r="D12" t="str">
        <f>Demographics!D12</f>
        <v>Payroll Administrator</v>
      </c>
      <c r="E12" s="6">
        <f>Demographics!E12</f>
        <v>40</v>
      </c>
      <c r="F12" s="3">
        <f>Demographics!F12</f>
        <v>397</v>
      </c>
      <c r="G12" s="3">
        <f>Demographics!G12</f>
        <v>57</v>
      </c>
      <c r="H12" s="3">
        <f>Demographics!H12</f>
        <v>4578</v>
      </c>
      <c r="I12" s="3">
        <f>Demographics!V12</f>
        <v>2</v>
      </c>
      <c r="J12" s="3">
        <f>EmployeeHoursEntry!N12</f>
        <v>48</v>
      </c>
      <c r="K12" s="1">
        <f t="shared" si="0"/>
        <v>40</v>
      </c>
      <c r="L12" s="3">
        <f t="shared" si="1"/>
        <v>8</v>
      </c>
      <c r="M12" s="4">
        <f t="shared" si="2"/>
        <v>1600</v>
      </c>
      <c r="N12" s="4">
        <f t="shared" si="3"/>
        <v>480</v>
      </c>
      <c r="O12" s="15">
        <v>5.6000000000000001E-2</v>
      </c>
      <c r="P12" s="15">
        <v>7.9000000000000001E-2</v>
      </c>
      <c r="Q12" s="5">
        <f t="shared" si="4"/>
        <v>116.48</v>
      </c>
      <c r="R12" s="5">
        <f t="shared" si="5"/>
        <v>164.32</v>
      </c>
      <c r="S12" s="4">
        <f t="shared" si="6"/>
        <v>2080</v>
      </c>
      <c r="T12" s="4">
        <f t="shared" si="7"/>
        <v>1799.2</v>
      </c>
    </row>
  </sheetData>
  <mergeCells count="3">
    <mergeCell ref="B1:C1"/>
    <mergeCell ref="F1:H1"/>
    <mergeCell ref="I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A415-0C96-487E-B6B6-B13EC9CE430F}">
  <dimension ref="A1:O16"/>
  <sheetViews>
    <sheetView workbookViewId="0">
      <selection activeCell="N2" sqref="N2"/>
    </sheetView>
  </sheetViews>
  <sheetFormatPr defaultRowHeight="14.4" x14ac:dyDescent="0.3"/>
  <cols>
    <col min="1" max="1" width="11" bestFit="1" customWidth="1"/>
    <col min="2" max="2" width="14.88671875" bestFit="1" customWidth="1"/>
    <col min="3" max="3" width="10" bestFit="1" customWidth="1"/>
    <col min="4" max="4" width="19.5546875" bestFit="1" customWidth="1"/>
    <col min="5" max="5" width="8.33203125" customWidth="1"/>
    <col min="14" max="14" width="10.21875" bestFit="1" customWidth="1"/>
  </cols>
  <sheetData>
    <row r="1" spans="1:15" x14ac:dyDescent="0.3">
      <c r="A1">
        <f>Demographics!A1</f>
        <v>0</v>
      </c>
      <c r="B1" s="2" t="str">
        <f>Demographics!B1</f>
        <v>Employee Name</v>
      </c>
      <c r="C1" s="2"/>
    </row>
    <row r="2" spans="1:15" x14ac:dyDescent="0.3">
      <c r="A2" s="14" t="str">
        <f>Demographics!A2</f>
        <v>employeeID</v>
      </c>
      <c r="B2" s="14" t="str">
        <f>Demographics!B2</f>
        <v>firstName</v>
      </c>
      <c r="C2" s="14" t="str">
        <f>Demographics!C2</f>
        <v>last Name</v>
      </c>
      <c r="D2" s="14" t="str">
        <f>Demographics!D2</f>
        <v>Position</v>
      </c>
      <c r="E2" s="14" t="s">
        <v>123</v>
      </c>
      <c r="F2" s="14" t="str">
        <f>Demographics!H2</f>
        <v>lastFour</v>
      </c>
      <c r="G2" s="14" t="s">
        <v>109</v>
      </c>
      <c r="H2" s="14" t="s">
        <v>110</v>
      </c>
      <c r="I2" s="14" t="s">
        <v>111</v>
      </c>
      <c r="J2" s="14" t="s">
        <v>112</v>
      </c>
      <c r="K2" s="14" t="s">
        <v>113</v>
      </c>
      <c r="L2" s="14" t="s">
        <v>114</v>
      </c>
      <c r="M2" s="14" t="s">
        <v>115</v>
      </c>
      <c r="N2" s="14" t="s">
        <v>108</v>
      </c>
    </row>
    <row r="3" spans="1:15" x14ac:dyDescent="0.3">
      <c r="A3" t="str">
        <f>Demographics!A3</f>
        <v>C0101</v>
      </c>
      <c r="B3" t="str">
        <f>Demographics!B3</f>
        <v xml:space="preserve">Terry </v>
      </c>
      <c r="C3" t="str">
        <f>Demographics!C3</f>
        <v>Baker</v>
      </c>
      <c r="D3" t="str">
        <f>Demographics!D3</f>
        <v>Sr. SoftwareEngineer</v>
      </c>
      <c r="E3" t="s">
        <v>117</v>
      </c>
      <c r="F3">
        <f>Demographics!H3</f>
        <v>1234</v>
      </c>
      <c r="G3" s="25">
        <v>0</v>
      </c>
      <c r="H3" s="25">
        <v>9</v>
      </c>
      <c r="I3" s="25">
        <v>9</v>
      </c>
      <c r="J3" s="25">
        <v>8</v>
      </c>
      <c r="K3" s="25">
        <v>8</v>
      </c>
      <c r="L3" s="25">
        <v>8</v>
      </c>
      <c r="M3" s="25">
        <v>8</v>
      </c>
      <c r="N3" s="25">
        <f>SUM(G3:M3)</f>
        <v>50</v>
      </c>
      <c r="O3" s="3"/>
    </row>
    <row r="4" spans="1:15" x14ac:dyDescent="0.3">
      <c r="A4" t="str">
        <f>Demographics!A4</f>
        <v>C0105</v>
      </c>
      <c r="B4" t="str">
        <f>Demographics!B4</f>
        <v>Sue</v>
      </c>
      <c r="C4" t="str">
        <f>Demographics!C4</f>
        <v>Cox</v>
      </c>
      <c r="D4" t="str">
        <f>Demographics!D4</f>
        <v>HR Manager</v>
      </c>
      <c r="E4" t="s">
        <v>119</v>
      </c>
      <c r="F4">
        <f>Demographics!H4</f>
        <v>3024</v>
      </c>
      <c r="G4" s="25">
        <v>0</v>
      </c>
      <c r="H4" s="25">
        <v>6</v>
      </c>
      <c r="I4" s="25">
        <v>6</v>
      </c>
      <c r="J4" s="25">
        <v>6</v>
      </c>
      <c r="K4" s="25">
        <v>6</v>
      </c>
      <c r="L4" s="25">
        <v>6</v>
      </c>
      <c r="M4" s="25">
        <v>0</v>
      </c>
      <c r="N4" s="25">
        <f t="shared" ref="N4:N12" si="0">SUM(G4:M4)</f>
        <v>30</v>
      </c>
      <c r="O4" s="3"/>
    </row>
    <row r="5" spans="1:15" x14ac:dyDescent="0.3">
      <c r="A5" t="str">
        <f>Demographics!A5</f>
        <v>C0109</v>
      </c>
      <c r="B5" t="str">
        <f>Demographics!B5</f>
        <v>Dick</v>
      </c>
      <c r="C5" t="str">
        <f>Demographics!C5</f>
        <v>Jones</v>
      </c>
      <c r="D5" t="str">
        <f>Demographics!D5</f>
        <v>Test Engineer</v>
      </c>
      <c r="E5" t="s">
        <v>117</v>
      </c>
      <c r="F5">
        <f>Demographics!H5</f>
        <v>3184</v>
      </c>
      <c r="G5" s="25">
        <v>0</v>
      </c>
      <c r="H5" s="25">
        <v>10</v>
      </c>
      <c r="I5" s="25">
        <v>9</v>
      </c>
      <c r="J5" s="25">
        <v>9</v>
      </c>
      <c r="K5" s="25">
        <v>9</v>
      </c>
      <c r="L5" s="25">
        <v>9</v>
      </c>
      <c r="M5" s="25">
        <v>9</v>
      </c>
      <c r="N5" s="25">
        <f t="shared" si="0"/>
        <v>55</v>
      </c>
      <c r="O5" s="3"/>
    </row>
    <row r="6" spans="1:15" x14ac:dyDescent="0.3">
      <c r="A6" t="str">
        <f>Demographics!A6</f>
        <v>C0108</v>
      </c>
      <c r="B6" t="str">
        <f>Demographics!B6</f>
        <v>Phillip</v>
      </c>
      <c r="C6" t="str">
        <f>Demographics!C6</f>
        <v>Moore</v>
      </c>
      <c r="D6" t="str">
        <f>Demographics!D6</f>
        <v>Engineering Manager</v>
      </c>
      <c r="E6" t="s">
        <v>121</v>
      </c>
      <c r="F6">
        <f>Demographics!H6</f>
        <v>4295</v>
      </c>
      <c r="G6" s="25">
        <v>0</v>
      </c>
      <c r="H6" s="25">
        <v>8</v>
      </c>
      <c r="I6" s="25">
        <v>8</v>
      </c>
      <c r="J6" s="25">
        <v>8</v>
      </c>
      <c r="K6" s="25">
        <v>8</v>
      </c>
      <c r="L6" s="25">
        <v>8</v>
      </c>
      <c r="M6" s="25">
        <v>8</v>
      </c>
      <c r="N6" s="25">
        <f t="shared" si="0"/>
        <v>48</v>
      </c>
      <c r="O6" s="3"/>
    </row>
    <row r="7" spans="1:15" x14ac:dyDescent="0.3">
      <c r="A7" t="str">
        <f>Demographics!A7</f>
        <v>C0102</v>
      </c>
      <c r="B7" t="str">
        <f>Demographics!B7</f>
        <v>Melissa</v>
      </c>
      <c r="C7" t="str">
        <f>Demographics!C7</f>
        <v>Neemah</v>
      </c>
      <c r="D7" t="str">
        <f>Demographics!D7</f>
        <v>Software Engineer</v>
      </c>
      <c r="E7" t="s">
        <v>117</v>
      </c>
      <c r="F7">
        <f>Demographics!H7</f>
        <v>6743</v>
      </c>
      <c r="G7" s="25">
        <v>0</v>
      </c>
      <c r="H7" s="25">
        <v>9</v>
      </c>
      <c r="I7" s="25">
        <v>9</v>
      </c>
      <c r="J7" s="25">
        <v>9</v>
      </c>
      <c r="K7" s="25">
        <v>9</v>
      </c>
      <c r="L7" s="25">
        <v>9</v>
      </c>
      <c r="M7" s="25">
        <v>7</v>
      </c>
      <c r="N7" s="25">
        <f t="shared" si="0"/>
        <v>52</v>
      </c>
      <c r="O7" s="3"/>
    </row>
    <row r="8" spans="1:15" x14ac:dyDescent="0.3">
      <c r="A8" t="str">
        <f>Demographics!A8</f>
        <v>C0103</v>
      </c>
      <c r="B8" t="str">
        <f>Demographics!B8</f>
        <v>David</v>
      </c>
      <c r="C8" t="str">
        <f>Demographics!C8</f>
        <v>Rocheleau</v>
      </c>
      <c r="D8" t="str">
        <f>Demographics!D8</f>
        <v>Electronic Technician</v>
      </c>
      <c r="E8" t="s">
        <v>117</v>
      </c>
      <c r="F8">
        <f>Demographics!H8</f>
        <v>5634</v>
      </c>
      <c r="G8" s="25">
        <v>0</v>
      </c>
      <c r="H8" s="25">
        <v>8</v>
      </c>
      <c r="I8" s="25">
        <v>8</v>
      </c>
      <c r="J8" s="25">
        <v>8</v>
      </c>
      <c r="K8" s="25">
        <v>8</v>
      </c>
      <c r="L8" s="25">
        <v>8</v>
      </c>
      <c r="M8" s="25">
        <v>0</v>
      </c>
      <c r="N8" s="25">
        <f t="shared" si="0"/>
        <v>40</v>
      </c>
      <c r="O8" s="3"/>
    </row>
    <row r="9" spans="1:15" x14ac:dyDescent="0.3">
      <c r="A9" t="str">
        <f>Demographics!A9</f>
        <v>C0107</v>
      </c>
      <c r="B9" t="str">
        <f>Demographics!B9</f>
        <v>Hector</v>
      </c>
      <c r="C9" t="str">
        <f>Demographics!C9</f>
        <v>Rodrigues</v>
      </c>
      <c r="D9" t="str">
        <f>Demographics!D9</f>
        <v>Quality Engineer</v>
      </c>
      <c r="E9" t="s">
        <v>120</v>
      </c>
      <c r="F9">
        <f>Demographics!H9</f>
        <v>2341</v>
      </c>
      <c r="G9" s="25">
        <v>0</v>
      </c>
      <c r="H9" s="25">
        <v>9</v>
      </c>
      <c r="I9" s="25">
        <v>9</v>
      </c>
      <c r="J9" s="25">
        <v>9</v>
      </c>
      <c r="K9" s="25">
        <v>9</v>
      </c>
      <c r="L9" s="25">
        <v>9</v>
      </c>
      <c r="M9" s="25">
        <v>9</v>
      </c>
      <c r="N9" s="25">
        <f t="shared" si="0"/>
        <v>54</v>
      </c>
      <c r="O9" s="3"/>
    </row>
    <row r="10" spans="1:15" x14ac:dyDescent="0.3">
      <c r="A10" t="str">
        <f>Demographics!A10</f>
        <v>C0110</v>
      </c>
      <c r="B10" t="str">
        <f>Demographics!B10</f>
        <v>Bruce</v>
      </c>
      <c r="C10" t="str">
        <f>Demographics!C10</f>
        <v>Rogers</v>
      </c>
      <c r="D10" t="str">
        <f>Demographics!D10</f>
        <v>System Engineer</v>
      </c>
      <c r="E10" t="s">
        <v>117</v>
      </c>
      <c r="F10">
        <f>Demographics!H10</f>
        <v>4256</v>
      </c>
      <c r="G10" s="25">
        <v>0</v>
      </c>
      <c r="H10" s="25">
        <v>8</v>
      </c>
      <c r="I10" s="25">
        <v>8</v>
      </c>
      <c r="J10" s="25">
        <v>8</v>
      </c>
      <c r="K10" s="25">
        <v>8</v>
      </c>
      <c r="L10" s="25">
        <v>8</v>
      </c>
      <c r="M10" s="25">
        <v>5</v>
      </c>
      <c r="N10" s="25">
        <f t="shared" si="0"/>
        <v>45</v>
      </c>
      <c r="O10" s="3"/>
    </row>
    <row r="11" spans="1:15" x14ac:dyDescent="0.3">
      <c r="A11" t="str">
        <f>Demographics!A11</f>
        <v>C0111</v>
      </c>
      <c r="B11" t="str">
        <f>Demographics!B11</f>
        <v>Mary</v>
      </c>
      <c r="C11" t="str">
        <f>Demographics!C11</f>
        <v>Rogers</v>
      </c>
      <c r="D11" t="str">
        <f>Demographics!D11</f>
        <v>Executive Secretary</v>
      </c>
      <c r="E11" t="s">
        <v>121</v>
      </c>
      <c r="F11">
        <f>Demographics!H11</f>
        <v>2035</v>
      </c>
      <c r="G11" s="25">
        <v>0</v>
      </c>
      <c r="H11" s="25">
        <v>6</v>
      </c>
      <c r="I11" s="25">
        <v>6</v>
      </c>
      <c r="J11" s="25">
        <v>6</v>
      </c>
      <c r="K11" s="25">
        <v>6</v>
      </c>
      <c r="L11" s="25">
        <v>6</v>
      </c>
      <c r="M11" s="25">
        <v>0</v>
      </c>
      <c r="N11" s="25">
        <f t="shared" si="0"/>
        <v>30</v>
      </c>
      <c r="O11" s="3"/>
    </row>
    <row r="12" spans="1:15" x14ac:dyDescent="0.3">
      <c r="A12" t="str">
        <f>Demographics!A12</f>
        <v>C0115</v>
      </c>
      <c r="B12" t="str">
        <f>Demographics!B12</f>
        <v>Tom</v>
      </c>
      <c r="C12" t="str">
        <f>Demographics!C12</f>
        <v>Smith</v>
      </c>
      <c r="D12" t="str">
        <f>Demographics!D12</f>
        <v>Payroll Administrator</v>
      </c>
      <c r="E12" t="s">
        <v>122</v>
      </c>
      <c r="F12">
        <f>Demographics!H12</f>
        <v>4578</v>
      </c>
      <c r="G12" s="25">
        <v>0</v>
      </c>
      <c r="H12" s="25">
        <v>8</v>
      </c>
      <c r="I12" s="25">
        <v>8</v>
      </c>
      <c r="J12" s="25">
        <v>8</v>
      </c>
      <c r="K12" s="25">
        <v>8</v>
      </c>
      <c r="L12" s="25">
        <v>8</v>
      </c>
      <c r="M12" s="25">
        <v>8</v>
      </c>
      <c r="N12" s="25">
        <f t="shared" si="0"/>
        <v>48</v>
      </c>
      <c r="O12" s="3"/>
    </row>
    <row r="15" spans="1:15" x14ac:dyDescent="0.3">
      <c r="A15" s="16" t="s">
        <v>116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5" x14ac:dyDescent="0.3">
      <c r="A16" s="16" t="s">
        <v>124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</sheetData>
  <sheetProtection autoFilter="0"/>
  <mergeCells count="3">
    <mergeCell ref="B1:C1"/>
    <mergeCell ref="A16:N16"/>
    <mergeCell ref="A15:N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0F93-645A-47CB-BC37-350EF17551B8}">
  <dimension ref="A1:T12"/>
  <sheetViews>
    <sheetView workbookViewId="0">
      <selection activeCell="A14" sqref="A14"/>
    </sheetView>
  </sheetViews>
  <sheetFormatPr defaultRowHeight="14.4" x14ac:dyDescent="0.3"/>
  <cols>
    <col min="3" max="3" width="10" bestFit="1" customWidth="1"/>
    <col min="4" max="4" width="19.5546875" bestFit="1" customWidth="1"/>
  </cols>
  <sheetData>
    <row r="1" spans="1:20" x14ac:dyDescent="0.3">
      <c r="A1">
        <f>Payroll!A1</f>
        <v>0</v>
      </c>
      <c r="B1" t="str">
        <f>Payroll!B1</f>
        <v>Employee Name</v>
      </c>
      <c r="C1">
        <f>Payroll!C1</f>
        <v>0</v>
      </c>
      <c r="D1">
        <f>Payroll!D1</f>
        <v>0</v>
      </c>
      <c r="E1">
        <f>Payroll!E1</f>
        <v>0</v>
      </c>
      <c r="F1" t="str">
        <f>Payroll!F1</f>
        <v>Social Security ID</v>
      </c>
      <c r="G1">
        <f>Payroll!G1</f>
        <v>0</v>
      </c>
      <c r="H1">
        <f>Payroll!H1</f>
        <v>0</v>
      </c>
      <c r="I1" t="e">
        <f>Payroll!#REF!</f>
        <v>#REF!</v>
      </c>
      <c r="J1" t="str">
        <f>Payroll!I1</f>
        <v>Weekly Payroll Information</v>
      </c>
      <c r="K1">
        <f>Payroll!K1</f>
        <v>0</v>
      </c>
      <c r="L1">
        <f>Payroll!L1</f>
        <v>0</v>
      </c>
      <c r="M1">
        <f>Payroll!M1</f>
        <v>0</v>
      </c>
      <c r="N1">
        <f>Payroll!N1</f>
        <v>0</v>
      </c>
      <c r="O1">
        <f>Payroll!O1</f>
        <v>0</v>
      </c>
      <c r="P1">
        <f>Payroll!P1</f>
        <v>0</v>
      </c>
      <c r="Q1">
        <f>Payroll!Q1</f>
        <v>0</v>
      </c>
      <c r="R1">
        <f>Payroll!R1</f>
        <v>0</v>
      </c>
      <c r="S1">
        <f>Payroll!S1</f>
        <v>0</v>
      </c>
      <c r="T1">
        <f>Payroll!T1</f>
        <v>0</v>
      </c>
    </row>
    <row r="2" spans="1:20" x14ac:dyDescent="0.3">
      <c r="A2" t="str">
        <f>Payroll!A2</f>
        <v>employeeID</v>
      </c>
      <c r="B2" t="str">
        <f>Payroll!B2</f>
        <v>firstName</v>
      </c>
      <c r="C2" t="str">
        <f>Payroll!C2</f>
        <v>last Name</v>
      </c>
      <c r="D2" t="str">
        <f>Payroll!D2</f>
        <v>Position</v>
      </c>
      <c r="E2" t="str">
        <f>Payroll!E2</f>
        <v>hrRate</v>
      </c>
      <c r="F2" t="str">
        <f>Payroll!F2</f>
        <v>firstThree</v>
      </c>
      <c r="G2" t="str">
        <f>Payroll!G2</f>
        <v>middleTwo</v>
      </c>
      <c r="H2" t="str">
        <f>Payroll!H2</f>
        <v>lastFour</v>
      </c>
      <c r="I2" t="str">
        <f>Payroll!I2</f>
        <v>Dependents</v>
      </c>
      <c r="J2" t="str">
        <f>Payroll!J2</f>
        <v>hrsWorked</v>
      </c>
      <c r="K2" t="str">
        <f>Payroll!K2</f>
        <v>regHours</v>
      </c>
      <c r="L2" t="str">
        <f>Payroll!L2</f>
        <v>otHours</v>
      </c>
      <c r="M2" t="str">
        <f>Payroll!M2</f>
        <v>regPay</v>
      </c>
      <c r="N2" t="str">
        <f>Payroll!N2</f>
        <v>otPay</v>
      </c>
      <c r="O2" t="str">
        <f>Payroll!O2</f>
        <v>STATETAX</v>
      </c>
      <c r="P2" t="str">
        <f>Payroll!P2</f>
        <v>FEDTAX</v>
      </c>
      <c r="Q2" t="str">
        <f>Payroll!Q2</f>
        <v>stateTax</v>
      </c>
      <c r="R2" t="str">
        <f>Payroll!R2</f>
        <v>fedTax</v>
      </c>
      <c r="S2" t="str">
        <f>Payroll!S2</f>
        <v>grossPay</v>
      </c>
      <c r="T2" t="str">
        <f>Payroll!T2</f>
        <v>netPay</v>
      </c>
    </row>
    <row r="3" spans="1:20" x14ac:dyDescent="0.3">
      <c r="A3" t="str">
        <f>Payroll!A3</f>
        <v>C0101</v>
      </c>
      <c r="B3" t="str">
        <f>Payroll!B3</f>
        <v xml:space="preserve">Terry </v>
      </c>
      <c r="C3" t="str">
        <f>Payroll!C3</f>
        <v>Baker</v>
      </c>
      <c r="D3" t="str">
        <f>Payroll!D3</f>
        <v>Sr. SoftwareEngineer</v>
      </c>
      <c r="E3" s="4">
        <f>Payroll!E3</f>
        <v>48</v>
      </c>
      <c r="F3">
        <f>Payroll!F3</f>
        <v>307</v>
      </c>
      <c r="G3">
        <f>Payroll!G3</f>
        <v>12</v>
      </c>
      <c r="H3">
        <f>Payroll!H3</f>
        <v>1234</v>
      </c>
      <c r="I3">
        <f>Payroll!I3</f>
        <v>3</v>
      </c>
      <c r="J3">
        <f>Payroll!J3</f>
        <v>50</v>
      </c>
      <c r="K3">
        <f>Payroll!K3</f>
        <v>40</v>
      </c>
      <c r="L3">
        <f>Payroll!L3</f>
        <v>10</v>
      </c>
      <c r="M3">
        <f>Payroll!M3</f>
        <v>1920</v>
      </c>
      <c r="N3">
        <f>Payroll!N3</f>
        <v>720</v>
      </c>
      <c r="O3">
        <f>Payroll!O3</f>
        <v>5.6000000000000001E-2</v>
      </c>
      <c r="P3">
        <f>Payroll!P3</f>
        <v>7.9000000000000001E-2</v>
      </c>
      <c r="Q3">
        <f>Payroll!Q3</f>
        <v>147.84</v>
      </c>
      <c r="R3">
        <f>Payroll!R3</f>
        <v>208.56</v>
      </c>
      <c r="S3">
        <f>Payroll!S3</f>
        <v>2640</v>
      </c>
      <c r="T3">
        <f>Payroll!T3</f>
        <v>2283.6</v>
      </c>
    </row>
    <row r="4" spans="1:20" x14ac:dyDescent="0.3">
      <c r="A4" t="str">
        <f>Payroll!A4</f>
        <v>C0105</v>
      </c>
      <c r="B4" t="str">
        <f>Payroll!B4</f>
        <v>Sue</v>
      </c>
      <c r="C4" t="str">
        <f>Payroll!C4</f>
        <v>Cox</v>
      </c>
      <c r="D4" t="str">
        <f>Payroll!D4</f>
        <v>HR Manager</v>
      </c>
      <c r="E4" s="4">
        <f>Payroll!E4</f>
        <v>25</v>
      </c>
      <c r="F4">
        <f>Payroll!F4</f>
        <v>317</v>
      </c>
      <c r="G4">
        <f>Payroll!G4</f>
        <v>17</v>
      </c>
      <c r="H4">
        <f>Payroll!H4</f>
        <v>3024</v>
      </c>
      <c r="I4">
        <f>Payroll!I4</f>
        <v>4</v>
      </c>
      <c r="J4">
        <f>Payroll!J4</f>
        <v>30</v>
      </c>
      <c r="K4">
        <f>Payroll!K4</f>
        <v>30</v>
      </c>
      <c r="L4">
        <f>Payroll!L4</f>
        <v>0</v>
      </c>
      <c r="M4">
        <f>Payroll!M4</f>
        <v>750</v>
      </c>
      <c r="N4">
        <f>Payroll!N4</f>
        <v>0</v>
      </c>
      <c r="O4">
        <f>Payroll!O4</f>
        <v>5.6000000000000001E-2</v>
      </c>
      <c r="P4">
        <f>Payroll!P4</f>
        <v>7.9000000000000001E-2</v>
      </c>
      <c r="Q4">
        <f>Payroll!Q4</f>
        <v>42</v>
      </c>
      <c r="R4">
        <f>Payroll!R4</f>
        <v>59.25</v>
      </c>
      <c r="S4">
        <f>Payroll!S4</f>
        <v>750</v>
      </c>
      <c r="T4">
        <f>Payroll!T4</f>
        <v>648.75</v>
      </c>
    </row>
    <row r="5" spans="1:20" x14ac:dyDescent="0.3">
      <c r="A5" t="str">
        <f>Payroll!A5</f>
        <v>C0109</v>
      </c>
      <c r="B5" t="str">
        <f>Payroll!B5</f>
        <v>Dick</v>
      </c>
      <c r="C5" t="str">
        <f>Payroll!C5</f>
        <v>Jones</v>
      </c>
      <c r="D5" t="str">
        <f>Payroll!D5</f>
        <v>Test Engineer</v>
      </c>
      <c r="E5" s="4">
        <f>Payroll!E5</f>
        <v>37.5</v>
      </c>
      <c r="F5">
        <f>Payroll!F5</f>
        <v>327</v>
      </c>
      <c r="G5">
        <f>Payroll!G5</f>
        <v>22</v>
      </c>
      <c r="H5">
        <f>Payroll!H5</f>
        <v>3184</v>
      </c>
      <c r="I5">
        <f>Payroll!I5</f>
        <v>2</v>
      </c>
      <c r="J5">
        <f>Payroll!J5</f>
        <v>55</v>
      </c>
      <c r="K5">
        <f>Payroll!K5</f>
        <v>40</v>
      </c>
      <c r="L5">
        <f>Payroll!L5</f>
        <v>15</v>
      </c>
      <c r="M5">
        <f>Payroll!M5</f>
        <v>1500</v>
      </c>
      <c r="N5">
        <f>Payroll!N5</f>
        <v>843.75</v>
      </c>
      <c r="O5">
        <f>Payroll!O5</f>
        <v>5.6000000000000001E-2</v>
      </c>
      <c r="P5">
        <f>Payroll!P5</f>
        <v>7.9000000000000001E-2</v>
      </c>
      <c r="Q5">
        <f>Payroll!Q5</f>
        <v>131.25</v>
      </c>
      <c r="R5">
        <f>Payroll!R5</f>
        <v>185.15625</v>
      </c>
      <c r="S5">
        <f>Payroll!S5</f>
        <v>2343.75</v>
      </c>
      <c r="T5">
        <f>Payroll!T5</f>
        <v>2027.34375</v>
      </c>
    </row>
    <row r="6" spans="1:20" x14ac:dyDescent="0.3">
      <c r="A6" t="str">
        <f>Payroll!A6</f>
        <v>C0108</v>
      </c>
      <c r="B6" t="str">
        <f>Payroll!B6</f>
        <v>Phillip</v>
      </c>
      <c r="C6" t="str">
        <f>Payroll!C6</f>
        <v>Moore</v>
      </c>
      <c r="D6" t="str">
        <f>Payroll!D6</f>
        <v>Engineering Manager</v>
      </c>
      <c r="E6" s="4">
        <f>Payroll!E6</f>
        <v>60</v>
      </c>
      <c r="F6">
        <f>Payroll!F6</f>
        <v>337</v>
      </c>
      <c r="G6">
        <f>Payroll!G6</f>
        <v>27</v>
      </c>
      <c r="H6">
        <f>Payroll!H6</f>
        <v>4295</v>
      </c>
      <c r="I6">
        <f>Payroll!I6</f>
        <v>1</v>
      </c>
      <c r="J6">
        <f>Payroll!J6</f>
        <v>48</v>
      </c>
      <c r="K6">
        <f>Payroll!K6</f>
        <v>40</v>
      </c>
      <c r="L6">
        <f>Payroll!L6</f>
        <v>8</v>
      </c>
      <c r="M6">
        <f>Payroll!M6</f>
        <v>2400</v>
      </c>
      <c r="N6">
        <f>Payroll!N6</f>
        <v>720</v>
      </c>
      <c r="O6">
        <f>Payroll!O6</f>
        <v>5.6000000000000001E-2</v>
      </c>
      <c r="P6">
        <f>Payroll!P6</f>
        <v>7.9000000000000001E-2</v>
      </c>
      <c r="Q6">
        <f>Payroll!Q6</f>
        <v>174.72</v>
      </c>
      <c r="R6">
        <f>Payroll!R6</f>
        <v>246.48</v>
      </c>
      <c r="S6">
        <f>Payroll!S6</f>
        <v>3120</v>
      </c>
      <c r="T6">
        <f>Payroll!T6</f>
        <v>2698.8</v>
      </c>
    </row>
    <row r="7" spans="1:20" x14ac:dyDescent="0.3">
      <c r="A7" t="str">
        <f>Payroll!A7</f>
        <v>C0102</v>
      </c>
      <c r="B7" t="str">
        <f>Payroll!B7</f>
        <v>Melissa</v>
      </c>
      <c r="C7" t="str">
        <f>Payroll!C7</f>
        <v>Neemah</v>
      </c>
      <c r="D7" t="str">
        <f>Payroll!D7</f>
        <v>Software Engineer</v>
      </c>
      <c r="E7" s="4">
        <f>Payroll!E7</f>
        <v>42</v>
      </c>
      <c r="F7">
        <f>Payroll!F7</f>
        <v>347</v>
      </c>
      <c r="G7">
        <f>Payroll!G7</f>
        <v>32</v>
      </c>
      <c r="H7">
        <f>Payroll!H7</f>
        <v>6743</v>
      </c>
      <c r="I7">
        <f>Payroll!I7</f>
        <v>8</v>
      </c>
      <c r="J7">
        <f>Payroll!J7</f>
        <v>52</v>
      </c>
      <c r="K7">
        <f>Payroll!K7</f>
        <v>40</v>
      </c>
      <c r="L7">
        <f>Payroll!L7</f>
        <v>12</v>
      </c>
      <c r="M7">
        <f>Payroll!M7</f>
        <v>1680</v>
      </c>
      <c r="N7">
        <f>Payroll!N7</f>
        <v>756</v>
      </c>
      <c r="O7">
        <f>Payroll!O7</f>
        <v>5.6000000000000001E-2</v>
      </c>
      <c r="P7">
        <f>Payroll!P7</f>
        <v>7.9000000000000001E-2</v>
      </c>
      <c r="Q7">
        <f>Payroll!Q7</f>
        <v>136.416</v>
      </c>
      <c r="R7">
        <f>Payroll!R7</f>
        <v>192.44399999999999</v>
      </c>
      <c r="S7">
        <f>Payroll!S7</f>
        <v>2436</v>
      </c>
      <c r="T7">
        <f>Payroll!T7</f>
        <v>2107.14</v>
      </c>
    </row>
    <row r="8" spans="1:20" x14ac:dyDescent="0.3">
      <c r="A8" t="str">
        <f>Payroll!A8</f>
        <v>C0103</v>
      </c>
      <c r="B8" t="str">
        <f>Payroll!B8</f>
        <v>David</v>
      </c>
      <c r="C8" t="str">
        <f>Payroll!C8</f>
        <v>Rocheleau</v>
      </c>
      <c r="D8" t="str">
        <f>Payroll!D8</f>
        <v>Electronic Technician</v>
      </c>
      <c r="E8" s="4">
        <f>Payroll!E8</f>
        <v>22.5</v>
      </c>
      <c r="F8">
        <f>Payroll!F8</f>
        <v>357</v>
      </c>
      <c r="G8">
        <f>Payroll!G8</f>
        <v>37</v>
      </c>
      <c r="H8">
        <f>Payroll!H8</f>
        <v>5634</v>
      </c>
      <c r="I8">
        <f>Payroll!I8</f>
        <v>4</v>
      </c>
      <c r="J8">
        <f>Payroll!J8</f>
        <v>40</v>
      </c>
      <c r="K8">
        <f>Payroll!K8</f>
        <v>40</v>
      </c>
      <c r="L8">
        <f>Payroll!L8</f>
        <v>0</v>
      </c>
      <c r="M8">
        <f>Payroll!M8</f>
        <v>900</v>
      </c>
      <c r="N8">
        <f>Payroll!N8</f>
        <v>0</v>
      </c>
      <c r="O8">
        <f>Payroll!O8</f>
        <v>5.6000000000000001E-2</v>
      </c>
      <c r="P8">
        <f>Payroll!P8</f>
        <v>7.9000000000000001E-2</v>
      </c>
      <c r="Q8">
        <f>Payroll!Q8</f>
        <v>50.4</v>
      </c>
      <c r="R8">
        <f>Payroll!R8</f>
        <v>71.099999999999994</v>
      </c>
      <c r="S8">
        <f>Payroll!S8</f>
        <v>900</v>
      </c>
      <c r="T8">
        <f>Payroll!T8</f>
        <v>778.5</v>
      </c>
    </row>
    <row r="9" spans="1:20" x14ac:dyDescent="0.3">
      <c r="A9" t="str">
        <f>Payroll!A9</f>
        <v>C0107</v>
      </c>
      <c r="B9" t="str">
        <f>Payroll!B9</f>
        <v>Hector</v>
      </c>
      <c r="C9" t="str">
        <f>Payroll!C9</f>
        <v>Rodrigues</v>
      </c>
      <c r="D9" t="str">
        <f>Payroll!D9</f>
        <v>Quality Engineer</v>
      </c>
      <c r="E9" s="4">
        <f>Payroll!E9</f>
        <v>39.75</v>
      </c>
      <c r="F9">
        <f>Payroll!F9</f>
        <v>367</v>
      </c>
      <c r="G9">
        <f>Payroll!G9</f>
        <v>42</v>
      </c>
      <c r="H9">
        <f>Payroll!H9</f>
        <v>2341</v>
      </c>
      <c r="I9">
        <f>Payroll!I9</f>
        <v>3</v>
      </c>
      <c r="J9">
        <f>Payroll!J9</f>
        <v>54</v>
      </c>
      <c r="K9">
        <f>Payroll!K9</f>
        <v>40</v>
      </c>
      <c r="L9">
        <f>Payroll!L9</f>
        <v>14</v>
      </c>
      <c r="M9">
        <f>Payroll!M9</f>
        <v>1590</v>
      </c>
      <c r="N9">
        <f>Payroll!N9</f>
        <v>834.75</v>
      </c>
      <c r="O9">
        <f>Payroll!O9</f>
        <v>5.6000000000000001E-2</v>
      </c>
      <c r="P9">
        <f>Payroll!P9</f>
        <v>7.9000000000000001E-2</v>
      </c>
      <c r="Q9">
        <f>Payroll!Q9</f>
        <v>135.786</v>
      </c>
      <c r="R9">
        <f>Payroll!R9</f>
        <v>191.55525</v>
      </c>
      <c r="S9">
        <f>Payroll!S9</f>
        <v>2424.75</v>
      </c>
      <c r="T9">
        <f>Payroll!T9</f>
        <v>2097.4087500000001</v>
      </c>
    </row>
    <row r="10" spans="1:20" x14ac:dyDescent="0.3">
      <c r="A10" t="str">
        <f>Payroll!A10</f>
        <v>C0110</v>
      </c>
      <c r="B10" t="str">
        <f>Payroll!B10</f>
        <v>Bruce</v>
      </c>
      <c r="C10" t="str">
        <f>Payroll!C10</f>
        <v>Rogers</v>
      </c>
      <c r="D10" t="str">
        <f>Payroll!D10</f>
        <v>System Engineer</v>
      </c>
      <c r="E10" s="4">
        <f>Payroll!E10</f>
        <v>46</v>
      </c>
      <c r="F10">
        <f>Payroll!F10</f>
        <v>377</v>
      </c>
      <c r="G10">
        <f>Payroll!G10</f>
        <v>47</v>
      </c>
      <c r="H10">
        <f>Payroll!H10</f>
        <v>4256</v>
      </c>
      <c r="I10">
        <f>Payroll!I10</f>
        <v>5</v>
      </c>
      <c r="J10">
        <f>Payroll!J10</f>
        <v>45</v>
      </c>
      <c r="K10">
        <f>Payroll!K10</f>
        <v>40</v>
      </c>
      <c r="L10">
        <f>Payroll!L10</f>
        <v>5</v>
      </c>
      <c r="M10">
        <f>Payroll!M10</f>
        <v>1840</v>
      </c>
      <c r="N10">
        <f>Payroll!N10</f>
        <v>345</v>
      </c>
      <c r="O10">
        <f>Payroll!O10</f>
        <v>5.6000000000000001E-2</v>
      </c>
      <c r="P10">
        <f>Payroll!P10</f>
        <v>7.9000000000000001E-2</v>
      </c>
      <c r="Q10">
        <f>Payroll!Q10</f>
        <v>122.36</v>
      </c>
      <c r="R10">
        <f>Payroll!R10</f>
        <v>172.61500000000001</v>
      </c>
      <c r="S10">
        <f>Payroll!S10</f>
        <v>2185</v>
      </c>
      <c r="T10">
        <f>Payroll!T10</f>
        <v>1890.0249999999999</v>
      </c>
    </row>
    <row r="11" spans="1:20" x14ac:dyDescent="0.3">
      <c r="A11" t="str">
        <f>Payroll!A11</f>
        <v>C0111</v>
      </c>
      <c r="B11" t="str">
        <f>Payroll!B11</f>
        <v>Mary</v>
      </c>
      <c r="C11" t="str">
        <f>Payroll!C11</f>
        <v>Rogers</v>
      </c>
      <c r="D11" t="str">
        <f>Payroll!D11</f>
        <v>Executive Secretary</v>
      </c>
      <c r="E11" s="4">
        <f>Payroll!E11</f>
        <v>23.5</v>
      </c>
      <c r="F11">
        <f>Payroll!F11</f>
        <v>387</v>
      </c>
      <c r="G11">
        <f>Payroll!G11</f>
        <v>52</v>
      </c>
      <c r="H11">
        <f>Payroll!H11</f>
        <v>2035</v>
      </c>
      <c r="I11">
        <f>Payroll!I11</f>
        <v>2</v>
      </c>
      <c r="J11">
        <f>Payroll!J11</f>
        <v>30</v>
      </c>
      <c r="K11">
        <f>Payroll!K11</f>
        <v>30</v>
      </c>
      <c r="L11">
        <f>Payroll!L11</f>
        <v>0</v>
      </c>
      <c r="M11">
        <f>Payroll!M11</f>
        <v>705</v>
      </c>
      <c r="N11">
        <f>Payroll!N11</f>
        <v>0</v>
      </c>
      <c r="O11">
        <f>Payroll!O11</f>
        <v>5.6000000000000001E-2</v>
      </c>
      <c r="P11">
        <f>Payroll!P11</f>
        <v>7.9000000000000001E-2</v>
      </c>
      <c r="Q11">
        <f>Payroll!Q11</f>
        <v>39.480000000000004</v>
      </c>
      <c r="R11">
        <f>Payroll!R11</f>
        <v>55.695</v>
      </c>
      <c r="S11">
        <f>Payroll!S11</f>
        <v>705</v>
      </c>
      <c r="T11">
        <f>Payroll!T11</f>
        <v>609.82499999999993</v>
      </c>
    </row>
    <row r="12" spans="1:20" x14ac:dyDescent="0.3">
      <c r="A12" t="str">
        <f>Payroll!A12</f>
        <v>C0115</v>
      </c>
      <c r="B12" t="str">
        <f>Payroll!B12</f>
        <v>Tom</v>
      </c>
      <c r="C12" t="str">
        <f>Payroll!C12</f>
        <v>Smith</v>
      </c>
      <c r="D12" t="str">
        <f>Payroll!D12</f>
        <v>Payroll Administrator</v>
      </c>
      <c r="E12" s="4">
        <f>Payroll!E12</f>
        <v>40</v>
      </c>
      <c r="F12">
        <f>Payroll!F12</f>
        <v>397</v>
      </c>
      <c r="G12">
        <f>Payroll!G12</f>
        <v>57</v>
      </c>
      <c r="H12">
        <f>Payroll!H12</f>
        <v>4578</v>
      </c>
      <c r="I12">
        <f>Payroll!I12</f>
        <v>2</v>
      </c>
      <c r="J12">
        <f>Payroll!J12</f>
        <v>48</v>
      </c>
      <c r="K12">
        <f>Payroll!K12</f>
        <v>40</v>
      </c>
      <c r="L12">
        <f>Payroll!L12</f>
        <v>8</v>
      </c>
      <c r="M12">
        <f>Payroll!M12</f>
        <v>1600</v>
      </c>
      <c r="N12">
        <f>Payroll!N12</f>
        <v>480</v>
      </c>
      <c r="O12">
        <f>Payroll!O12</f>
        <v>5.6000000000000001E-2</v>
      </c>
      <c r="P12">
        <f>Payroll!P12</f>
        <v>7.9000000000000001E-2</v>
      </c>
      <c r="Q12">
        <f>Payroll!Q12</f>
        <v>116.48</v>
      </c>
      <c r="R12">
        <f>Payroll!R12</f>
        <v>164.32</v>
      </c>
      <c r="S12">
        <f>Payroll!S12</f>
        <v>2080</v>
      </c>
      <c r="T12">
        <f>Payroll!T12</f>
        <v>1799.2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9C77-59B8-42D8-B81C-D467CFF18CB9}">
  <dimension ref="A1:R35"/>
  <sheetViews>
    <sheetView workbookViewId="0">
      <pane ySplit="1" topLeftCell="A2" activePane="bottomLeft" state="frozen"/>
      <selection pane="bottomLeft" activeCell="R34" sqref="R34"/>
    </sheetView>
  </sheetViews>
  <sheetFormatPr defaultRowHeight="26.4" customHeight="1" x14ac:dyDescent="0.3"/>
  <cols>
    <col min="1" max="1" width="16.33203125" style="9" customWidth="1"/>
    <col min="2" max="11" width="8.88671875" style="19"/>
    <col min="12" max="12" width="6.88671875" style="19" customWidth="1"/>
    <col min="13" max="13" width="29.109375" style="19" hidden="1" customWidth="1"/>
    <col min="14" max="14" width="15.77734375" style="19" customWidth="1"/>
    <col min="15" max="15" width="20.5546875" style="17" customWidth="1"/>
    <col min="16" max="16" width="20.5546875" style="3" customWidth="1"/>
    <col min="17" max="17" width="29.6640625" style="9" bestFit="1" customWidth="1"/>
    <col min="18" max="18" width="18" style="17" customWidth="1"/>
    <col min="19" max="16384" width="8.88671875" style="17"/>
  </cols>
  <sheetData>
    <row r="1" spans="1:18" s="20" customFormat="1" ht="26.4" customHeight="1" x14ac:dyDescent="0.3">
      <c r="A1" s="9" t="s">
        <v>64</v>
      </c>
      <c r="B1" s="21" t="s">
        <v>66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4" t="s">
        <v>104</v>
      </c>
      <c r="O1" s="9" t="s">
        <v>65</v>
      </c>
      <c r="P1" s="9" t="s">
        <v>181</v>
      </c>
      <c r="Q1" s="9" t="s">
        <v>96</v>
      </c>
      <c r="R1" s="20" t="s">
        <v>97</v>
      </c>
    </row>
    <row r="2" spans="1:18" s="20" customFormat="1" ht="26.4" customHeight="1" x14ac:dyDescent="0.3">
      <c r="A2" s="9" t="s">
        <v>150</v>
      </c>
      <c r="B2" s="23" t="s">
        <v>125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  <c r="N2" s="22" t="s">
        <v>105</v>
      </c>
      <c r="O2" s="28" t="s">
        <v>183</v>
      </c>
      <c r="P2" s="26" t="s">
        <v>118</v>
      </c>
      <c r="Q2" s="9" t="s">
        <v>214</v>
      </c>
    </row>
    <row r="3" spans="1:18" ht="26.4" customHeight="1" x14ac:dyDescent="0.3">
      <c r="A3" s="9" t="s">
        <v>151</v>
      </c>
      <c r="B3" s="18" t="s">
        <v>91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22" t="s">
        <v>126</v>
      </c>
      <c r="O3" s="17" t="s">
        <v>177</v>
      </c>
      <c r="P3" s="26" t="s">
        <v>185</v>
      </c>
      <c r="Q3" s="9" t="s">
        <v>203</v>
      </c>
    </row>
    <row r="4" spans="1:18" ht="26.4" customHeight="1" x14ac:dyDescent="0.3">
      <c r="A4" s="9" t="s">
        <v>152</v>
      </c>
      <c r="B4" s="18" t="s">
        <v>106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2" t="s">
        <v>126</v>
      </c>
      <c r="O4" s="17" t="s">
        <v>177</v>
      </c>
      <c r="P4" s="26" t="s">
        <v>185</v>
      </c>
      <c r="Q4" s="9" t="s">
        <v>203</v>
      </c>
    </row>
    <row r="5" spans="1:18" ht="26.4" customHeight="1" x14ac:dyDescent="0.3">
      <c r="A5" s="9" t="s">
        <v>153</v>
      </c>
      <c r="B5" s="18" t="s">
        <v>140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2" t="s">
        <v>126</v>
      </c>
      <c r="O5" s="17" t="s">
        <v>177</v>
      </c>
      <c r="P5" s="26" t="s">
        <v>185</v>
      </c>
      <c r="Q5" s="9" t="s">
        <v>203</v>
      </c>
    </row>
    <row r="6" spans="1:18" ht="26.4" customHeight="1" x14ac:dyDescent="0.3">
      <c r="A6" s="9" t="s">
        <v>154</v>
      </c>
      <c r="B6" s="18" t="s">
        <v>142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2" t="s">
        <v>126</v>
      </c>
      <c r="O6" s="17" t="s">
        <v>177</v>
      </c>
      <c r="P6" s="26" t="s">
        <v>185</v>
      </c>
      <c r="Q6" s="9" t="s">
        <v>204</v>
      </c>
    </row>
    <row r="7" spans="1:18" ht="26.4" customHeight="1" x14ac:dyDescent="0.3">
      <c r="A7" s="9" t="s">
        <v>155</v>
      </c>
      <c r="B7" s="18" t="s">
        <v>141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22"/>
      <c r="N7" s="22" t="s">
        <v>126</v>
      </c>
      <c r="O7" s="17" t="s">
        <v>177</v>
      </c>
      <c r="P7" s="26" t="s">
        <v>185</v>
      </c>
      <c r="Q7" s="9" t="s">
        <v>204</v>
      </c>
    </row>
    <row r="8" spans="1:18" ht="26.4" customHeight="1" x14ac:dyDescent="0.3">
      <c r="A8" s="9" t="s">
        <v>156</v>
      </c>
      <c r="B8" s="18" t="s">
        <v>107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22"/>
      <c r="N8" s="22" t="s">
        <v>126</v>
      </c>
      <c r="O8" s="17" t="s">
        <v>177</v>
      </c>
      <c r="P8" s="26" t="s">
        <v>185</v>
      </c>
      <c r="Q8" s="9" t="s">
        <v>204</v>
      </c>
    </row>
    <row r="9" spans="1:18" ht="26.4" customHeight="1" x14ac:dyDescent="0.3">
      <c r="A9" s="9" t="s">
        <v>157</v>
      </c>
      <c r="B9" s="18" t="s">
        <v>95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2" t="s">
        <v>126</v>
      </c>
      <c r="O9" s="17" t="s">
        <v>177</v>
      </c>
      <c r="P9" s="26" t="s">
        <v>185</v>
      </c>
      <c r="Q9" s="9" t="s">
        <v>205</v>
      </c>
    </row>
    <row r="10" spans="1:18" ht="26.4" customHeight="1" x14ac:dyDescent="0.3">
      <c r="A10" s="9" t="s">
        <v>158</v>
      </c>
      <c r="B10" s="18" t="s">
        <v>90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2" t="s">
        <v>126</v>
      </c>
      <c r="O10" s="17" t="s">
        <v>177</v>
      </c>
      <c r="P10" s="26" t="s">
        <v>185</v>
      </c>
      <c r="Q10" s="9" t="s">
        <v>205</v>
      </c>
    </row>
    <row r="11" spans="1:18" ht="26.4" customHeight="1" x14ac:dyDescent="0.3">
      <c r="A11" s="9" t="s">
        <v>159</v>
      </c>
      <c r="B11" s="18" t="s">
        <v>89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2" t="s">
        <v>126</v>
      </c>
      <c r="O11" s="17" t="s">
        <v>177</v>
      </c>
      <c r="P11" s="26" t="s">
        <v>185</v>
      </c>
      <c r="Q11" s="9" t="s">
        <v>205</v>
      </c>
    </row>
    <row r="12" spans="1:18" ht="26.4" customHeight="1" x14ac:dyDescent="0.3">
      <c r="A12" s="9" t="s">
        <v>160</v>
      </c>
      <c r="B12" s="18" t="s">
        <v>88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2" t="s">
        <v>126</v>
      </c>
      <c r="O12" s="17" t="s">
        <v>177</v>
      </c>
      <c r="P12" s="26" t="s">
        <v>185</v>
      </c>
      <c r="Q12" s="9" t="s">
        <v>205</v>
      </c>
    </row>
    <row r="13" spans="1:18" ht="26.4" customHeight="1" x14ac:dyDescent="0.3">
      <c r="A13" s="9" t="s">
        <v>161</v>
      </c>
      <c r="B13" s="18" t="s">
        <v>87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2" t="s">
        <v>126</v>
      </c>
      <c r="O13" s="17" t="s">
        <v>177</v>
      </c>
      <c r="P13" s="26" t="s">
        <v>185</v>
      </c>
      <c r="Q13" s="9" t="s">
        <v>205</v>
      </c>
    </row>
    <row r="14" spans="1:18" ht="26.4" customHeight="1" x14ac:dyDescent="0.3">
      <c r="A14" s="9" t="s">
        <v>162</v>
      </c>
      <c r="B14" s="18" t="s">
        <v>83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2" t="s">
        <v>126</v>
      </c>
      <c r="O14" s="17" t="s">
        <v>177</v>
      </c>
      <c r="P14" s="26" t="s">
        <v>185</v>
      </c>
      <c r="Q14" s="9" t="s">
        <v>205</v>
      </c>
    </row>
    <row r="15" spans="1:18" ht="26.4" customHeight="1" x14ac:dyDescent="0.3">
      <c r="A15" s="9" t="s">
        <v>163</v>
      </c>
      <c r="B15" s="18" t="s">
        <v>86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2" t="s">
        <v>126</v>
      </c>
      <c r="O15" s="17" t="s">
        <v>177</v>
      </c>
      <c r="P15" s="26" t="s">
        <v>185</v>
      </c>
      <c r="Q15" s="9" t="s">
        <v>205</v>
      </c>
    </row>
    <row r="16" spans="1:18" ht="26.4" customHeight="1" x14ac:dyDescent="0.3">
      <c r="A16" s="9" t="s">
        <v>164</v>
      </c>
      <c r="B16" s="18" t="s">
        <v>141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22" t="s">
        <v>126</v>
      </c>
      <c r="O16" s="17" t="s">
        <v>177</v>
      </c>
      <c r="P16" s="26" t="s">
        <v>185</v>
      </c>
      <c r="Q16" s="9" t="s">
        <v>205</v>
      </c>
    </row>
    <row r="17" spans="1:17" ht="26.4" customHeight="1" x14ac:dyDescent="0.3">
      <c r="A17" s="9" t="s">
        <v>165</v>
      </c>
      <c r="B17" s="23" t="s">
        <v>217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2" t="s">
        <v>105</v>
      </c>
      <c r="O17" s="17" t="s">
        <v>183</v>
      </c>
      <c r="P17" s="26" t="s">
        <v>118</v>
      </c>
      <c r="Q17" s="9" t="s">
        <v>214</v>
      </c>
    </row>
    <row r="18" spans="1:17" ht="26.4" customHeight="1" x14ac:dyDescent="0.3">
      <c r="A18" s="9" t="s">
        <v>166</v>
      </c>
      <c r="B18" s="30" t="s">
        <v>223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22"/>
      <c r="N18" s="22" t="s">
        <v>216</v>
      </c>
      <c r="O18" s="17" t="s">
        <v>178</v>
      </c>
      <c r="P18" s="26" t="s">
        <v>185</v>
      </c>
      <c r="Q18" s="9" t="s">
        <v>229</v>
      </c>
    </row>
    <row r="19" spans="1:17" ht="26.4" customHeight="1" x14ac:dyDescent="0.3">
      <c r="A19" s="9" t="s">
        <v>167</v>
      </c>
      <c r="B19" s="18" t="s">
        <v>215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2"/>
      <c r="N19" s="22" t="s">
        <v>216</v>
      </c>
      <c r="O19" s="17" t="s">
        <v>178</v>
      </c>
      <c r="P19" s="26" t="s">
        <v>185</v>
      </c>
      <c r="Q19" s="9" t="s">
        <v>230</v>
      </c>
    </row>
    <row r="20" spans="1:17" ht="26.4" customHeight="1" x14ac:dyDescent="0.3">
      <c r="A20" s="9" t="s">
        <v>130</v>
      </c>
      <c r="B20" s="23" t="s">
        <v>103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2"/>
      <c r="N20" s="22" t="s">
        <v>105</v>
      </c>
      <c r="O20" s="17" t="s">
        <v>183</v>
      </c>
      <c r="P20" s="26" t="s">
        <v>118</v>
      </c>
      <c r="Q20" s="9" t="s">
        <v>214</v>
      </c>
    </row>
    <row r="21" spans="1:17" ht="26.4" customHeight="1" x14ac:dyDescent="0.3">
      <c r="A21" s="9" t="s">
        <v>131</v>
      </c>
      <c r="B21" s="18" t="s">
        <v>102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2"/>
      <c r="N21" s="22" t="s">
        <v>127</v>
      </c>
      <c r="O21" s="17" t="s">
        <v>182</v>
      </c>
      <c r="P21" s="26" t="s">
        <v>185</v>
      </c>
      <c r="Q21" s="9" t="s">
        <v>199</v>
      </c>
    </row>
    <row r="22" spans="1:17" ht="26.4" customHeight="1" x14ac:dyDescent="0.3">
      <c r="A22" s="9" t="s">
        <v>132</v>
      </c>
      <c r="B22" s="18" t="s">
        <v>171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2"/>
      <c r="N22" s="22" t="s">
        <v>127</v>
      </c>
      <c r="O22" s="17" t="s">
        <v>179</v>
      </c>
      <c r="P22" s="26" t="s">
        <v>185</v>
      </c>
      <c r="Q22" s="9" t="s">
        <v>199</v>
      </c>
    </row>
    <row r="23" spans="1:17" ht="26.4" customHeight="1" x14ac:dyDescent="0.3">
      <c r="A23" s="9" t="s">
        <v>133</v>
      </c>
      <c r="B23" s="18" t="s">
        <v>172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2"/>
      <c r="N23" s="22" t="s">
        <v>127</v>
      </c>
      <c r="O23" s="17" t="s">
        <v>179</v>
      </c>
      <c r="P23" s="26" t="s">
        <v>185</v>
      </c>
      <c r="Q23" s="9" t="s">
        <v>199</v>
      </c>
    </row>
    <row r="24" spans="1:17" ht="26.4" customHeight="1" x14ac:dyDescent="0.3">
      <c r="A24" s="9" t="s">
        <v>134</v>
      </c>
      <c r="B24" s="18" t="s">
        <v>173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2"/>
      <c r="N24" s="22" t="s">
        <v>127</v>
      </c>
      <c r="O24" s="17" t="s">
        <v>179</v>
      </c>
      <c r="P24" s="26" t="s">
        <v>185</v>
      </c>
      <c r="Q24" s="9" t="s">
        <v>199</v>
      </c>
    </row>
    <row r="25" spans="1:17" ht="26.4" customHeight="1" x14ac:dyDescent="0.3">
      <c r="A25" s="9" t="s">
        <v>135</v>
      </c>
      <c r="B25" s="18" t="s">
        <v>168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2"/>
      <c r="N25" s="22" t="s">
        <v>127</v>
      </c>
      <c r="O25" s="17" t="s">
        <v>179</v>
      </c>
      <c r="P25" s="26" t="s">
        <v>185</v>
      </c>
      <c r="Q25" s="9" t="s">
        <v>200</v>
      </c>
    </row>
    <row r="26" spans="1:17" ht="26.4" customHeight="1" x14ac:dyDescent="0.3">
      <c r="A26" s="9" t="s">
        <v>136</v>
      </c>
      <c r="B26" s="18" t="s">
        <v>169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2"/>
      <c r="N26" s="22" t="s">
        <v>127</v>
      </c>
      <c r="O26" s="17" t="s">
        <v>179</v>
      </c>
      <c r="P26" s="26" t="s">
        <v>185</v>
      </c>
      <c r="Q26" s="9" t="s">
        <v>212</v>
      </c>
    </row>
    <row r="27" spans="1:17" ht="26.4" customHeight="1" x14ac:dyDescent="0.3">
      <c r="A27" s="9" t="s">
        <v>137</v>
      </c>
      <c r="B27" s="18" t="s">
        <v>101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2"/>
      <c r="N27" s="22" t="s">
        <v>127</v>
      </c>
      <c r="O27" s="17" t="s">
        <v>179</v>
      </c>
      <c r="P27" s="26" t="s">
        <v>185</v>
      </c>
      <c r="Q27" s="9" t="s">
        <v>199</v>
      </c>
    </row>
    <row r="28" spans="1:17" ht="26.4" customHeight="1" x14ac:dyDescent="0.3">
      <c r="A28" s="9" t="s">
        <v>138</v>
      </c>
      <c r="B28" s="18" t="s">
        <v>129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2"/>
      <c r="N28" s="22" t="s">
        <v>127</v>
      </c>
      <c r="O28" s="17" t="s">
        <v>179</v>
      </c>
      <c r="P28" s="26" t="s">
        <v>185</v>
      </c>
      <c r="Q28" s="9" t="s">
        <v>201</v>
      </c>
    </row>
    <row r="29" spans="1:17" ht="26.4" customHeight="1" x14ac:dyDescent="0.3">
      <c r="A29" s="9" t="s">
        <v>139</v>
      </c>
      <c r="B29" s="18" t="s">
        <v>128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2"/>
      <c r="N29" s="22" t="s">
        <v>127</v>
      </c>
      <c r="O29" s="17" t="s">
        <v>179</v>
      </c>
      <c r="P29" s="26" t="s">
        <v>185</v>
      </c>
      <c r="Q29" s="9" t="s">
        <v>201</v>
      </c>
    </row>
    <row r="30" spans="1:17" ht="26.4" customHeight="1" x14ac:dyDescent="0.3">
      <c r="A30" s="9" t="s">
        <v>218</v>
      </c>
      <c r="B30" s="18" t="s">
        <v>170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2"/>
      <c r="N30" s="22" t="s">
        <v>127</v>
      </c>
      <c r="O30" s="17" t="s">
        <v>179</v>
      </c>
      <c r="P30" s="26" t="s">
        <v>185</v>
      </c>
      <c r="Q30" s="9" t="s">
        <v>201</v>
      </c>
    </row>
    <row r="31" spans="1:17" ht="26.4" customHeight="1" x14ac:dyDescent="0.3">
      <c r="A31" s="9" t="s">
        <v>219</v>
      </c>
      <c r="B31" s="23" t="s">
        <v>148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2"/>
      <c r="N31" s="22" t="s">
        <v>149</v>
      </c>
      <c r="O31" s="17" t="s">
        <v>183</v>
      </c>
      <c r="P31" s="3" t="s">
        <v>118</v>
      </c>
      <c r="Q31" s="9" t="s">
        <v>214</v>
      </c>
    </row>
    <row r="32" spans="1:17" ht="26.4" customHeight="1" x14ac:dyDescent="0.3">
      <c r="A32" s="9" t="s">
        <v>220</v>
      </c>
      <c r="B32" s="18" t="s">
        <v>92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2" t="s">
        <v>147</v>
      </c>
      <c r="O32" s="17" t="s">
        <v>180</v>
      </c>
      <c r="P32" s="26" t="s">
        <v>185</v>
      </c>
      <c r="Q32" s="24" t="s">
        <v>235</v>
      </c>
    </row>
    <row r="33" spans="1:17" ht="26.4" customHeight="1" x14ac:dyDescent="0.3">
      <c r="A33" s="9" t="s">
        <v>221</v>
      </c>
      <c r="B33" s="18" t="s">
        <v>93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2" t="s">
        <v>147</v>
      </c>
      <c r="O33" s="17" t="s">
        <v>180</v>
      </c>
      <c r="P33" s="26" t="s">
        <v>185</v>
      </c>
      <c r="Q33" s="24" t="s">
        <v>235</v>
      </c>
    </row>
    <row r="34" spans="1:17" ht="26.4" customHeight="1" x14ac:dyDescent="0.3">
      <c r="A34" s="9" t="s">
        <v>222</v>
      </c>
      <c r="B34" s="18" t="s">
        <v>94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2" t="s">
        <v>147</v>
      </c>
      <c r="O34" s="17" t="s">
        <v>180</v>
      </c>
      <c r="P34" s="26" t="s">
        <v>185</v>
      </c>
      <c r="Q34" s="24" t="s">
        <v>235</v>
      </c>
    </row>
    <row r="35" spans="1:17" ht="26.4" customHeight="1" x14ac:dyDescent="0.3">
      <c r="A35" s="9" t="s">
        <v>224</v>
      </c>
      <c r="B35" s="18" t="s">
        <v>98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N35" s="22" t="s">
        <v>147</v>
      </c>
      <c r="O35" s="17" t="s">
        <v>180</v>
      </c>
      <c r="P35" s="26" t="s">
        <v>185</v>
      </c>
      <c r="Q35" s="24" t="s">
        <v>235</v>
      </c>
    </row>
  </sheetData>
  <mergeCells count="35">
    <mergeCell ref="B17:L17"/>
    <mergeCell ref="B18:L18"/>
    <mergeCell ref="B9:M9"/>
    <mergeCell ref="B8:L8"/>
    <mergeCell ref="B16:L16"/>
    <mergeCell ref="B7:L7"/>
    <mergeCell ref="B25:L25"/>
    <mergeCell ref="B22:L22"/>
    <mergeCell ref="B23:L23"/>
    <mergeCell ref="B24:L24"/>
    <mergeCell ref="B19:L19"/>
    <mergeCell ref="B30:L30"/>
    <mergeCell ref="B20:L20"/>
    <mergeCell ref="B32:M32"/>
    <mergeCell ref="B33:M33"/>
    <mergeCell ref="B34:M34"/>
    <mergeCell ref="B35:L35"/>
    <mergeCell ref="B21:L21"/>
    <mergeCell ref="B26:L26"/>
    <mergeCell ref="B27:L27"/>
    <mergeCell ref="B28:L28"/>
    <mergeCell ref="B31:L31"/>
    <mergeCell ref="B29:L29"/>
    <mergeCell ref="B10:M10"/>
    <mergeCell ref="B11:M11"/>
    <mergeCell ref="B12:M12"/>
    <mergeCell ref="B13:M13"/>
    <mergeCell ref="B14:M14"/>
    <mergeCell ref="B15:M15"/>
    <mergeCell ref="B1:M1"/>
    <mergeCell ref="B3:M3"/>
    <mergeCell ref="B4:M4"/>
    <mergeCell ref="B5:M5"/>
    <mergeCell ref="B6:M6"/>
    <mergeCell ref="B2:L2"/>
  </mergeCells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F2C284-0DAE-4258-AACF-09E7BC623879}">
          <x14:formula1>
            <xm:f>DATA!$A$2:$A$7</xm:f>
          </x14:formula1>
          <xm:sqref>P2:P35</xm:sqref>
        </x14:dataValidation>
        <x14:dataValidation type="list" allowBlank="1" showInputMessage="1" showErrorMessage="1" xr:uid="{2C36077A-AF4C-4EC6-9ECE-8699C2B22DCA}">
          <x14:formula1>
            <xm:f>DATA!$B$2:$B$32</xm:f>
          </x14:formula1>
          <xm:sqref>Q2:Q35</xm:sqref>
        </x14:dataValidation>
        <x14:dataValidation type="list" allowBlank="1" showInputMessage="1" showErrorMessage="1" xr:uid="{D24C6114-5733-439E-B7A3-877021206A03}">
          <x14:formula1>
            <xm:f>DATA!$C$2:$C$4</xm:f>
          </x14:formula1>
          <xm:sqref>R2:R35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807F-914E-4CA2-8E7D-DB8242CE947D}">
  <dimension ref="A1:C32"/>
  <sheetViews>
    <sheetView workbookViewId="0">
      <selection activeCell="B1" sqref="B1:B32"/>
    </sheetView>
  </sheetViews>
  <sheetFormatPr defaultRowHeight="14.4" x14ac:dyDescent="0.3"/>
  <cols>
    <col min="1" max="1" width="20.77734375" bestFit="1" customWidth="1"/>
    <col min="2" max="2" width="37.44140625" bestFit="1" customWidth="1"/>
    <col min="3" max="3" width="15.33203125" customWidth="1"/>
  </cols>
  <sheetData>
    <row r="1" spans="1:3" x14ac:dyDescent="0.3">
      <c r="A1" t="s">
        <v>184</v>
      </c>
      <c r="B1" s="1" t="s">
        <v>96</v>
      </c>
      <c r="C1" t="s">
        <v>225</v>
      </c>
    </row>
    <row r="2" spans="1:3" x14ac:dyDescent="0.3">
      <c r="A2" t="s">
        <v>118</v>
      </c>
      <c r="B2" s="29" t="s">
        <v>214</v>
      </c>
      <c r="C2" t="s">
        <v>226</v>
      </c>
    </row>
    <row r="3" spans="1:3" x14ac:dyDescent="0.3">
      <c r="A3" t="s">
        <v>185</v>
      </c>
      <c r="B3" t="s">
        <v>213</v>
      </c>
      <c r="C3" t="s">
        <v>227</v>
      </c>
    </row>
    <row r="4" spans="1:3" x14ac:dyDescent="0.3">
      <c r="A4" t="s">
        <v>186</v>
      </c>
      <c r="B4" t="s">
        <v>190</v>
      </c>
      <c r="C4" t="s">
        <v>228</v>
      </c>
    </row>
    <row r="5" spans="1:3" x14ac:dyDescent="0.3">
      <c r="A5" t="s">
        <v>187</v>
      </c>
      <c r="B5" t="s">
        <v>191</v>
      </c>
    </row>
    <row r="6" spans="1:3" x14ac:dyDescent="0.3">
      <c r="A6" t="s">
        <v>188</v>
      </c>
      <c r="B6" t="s">
        <v>192</v>
      </c>
    </row>
    <row r="7" spans="1:3" x14ac:dyDescent="0.3">
      <c r="A7" t="s">
        <v>189</v>
      </c>
      <c r="B7" t="s">
        <v>193</v>
      </c>
    </row>
    <row r="8" spans="1:3" x14ac:dyDescent="0.3">
      <c r="B8" t="s">
        <v>194</v>
      </c>
    </row>
    <row r="9" spans="1:3" x14ac:dyDescent="0.3">
      <c r="B9" t="s">
        <v>195</v>
      </c>
    </row>
    <row r="10" spans="1:3" x14ac:dyDescent="0.3">
      <c r="B10" t="s">
        <v>196</v>
      </c>
    </row>
    <row r="11" spans="1:3" x14ac:dyDescent="0.3">
      <c r="B11" t="s">
        <v>197</v>
      </c>
    </row>
    <row r="12" spans="1:3" x14ac:dyDescent="0.3">
      <c r="B12" t="s">
        <v>198</v>
      </c>
    </row>
    <row r="13" spans="1:3" x14ac:dyDescent="0.3">
      <c r="B13" t="s">
        <v>199</v>
      </c>
    </row>
    <row r="14" spans="1:3" x14ac:dyDescent="0.3">
      <c r="B14" t="s">
        <v>200</v>
      </c>
    </row>
    <row r="15" spans="1:3" x14ac:dyDescent="0.3">
      <c r="B15" t="s">
        <v>201</v>
      </c>
    </row>
    <row r="16" spans="1:3" x14ac:dyDescent="0.3">
      <c r="B16" t="s">
        <v>212</v>
      </c>
    </row>
    <row r="17" spans="2:2" x14ac:dyDescent="0.3">
      <c r="B17" t="s">
        <v>202</v>
      </c>
    </row>
    <row r="18" spans="2:2" x14ac:dyDescent="0.3">
      <c r="B18" t="s">
        <v>235</v>
      </c>
    </row>
    <row r="19" spans="2:2" x14ac:dyDescent="0.3">
      <c r="B19" t="s">
        <v>234</v>
      </c>
    </row>
    <row r="20" spans="2:2" x14ac:dyDescent="0.3">
      <c r="B20" t="s">
        <v>204</v>
      </c>
    </row>
    <row r="21" spans="2:2" x14ac:dyDescent="0.3">
      <c r="B21" t="s">
        <v>205</v>
      </c>
    </row>
    <row r="22" spans="2:2" x14ac:dyDescent="0.3">
      <c r="B22" t="s">
        <v>206</v>
      </c>
    </row>
    <row r="23" spans="2:2" x14ac:dyDescent="0.3">
      <c r="B23" t="s">
        <v>207</v>
      </c>
    </row>
    <row r="24" spans="2:2" x14ac:dyDescent="0.3">
      <c r="B24" t="s">
        <v>208</v>
      </c>
    </row>
    <row r="25" spans="2:2" x14ac:dyDescent="0.3">
      <c r="B25" t="s">
        <v>209</v>
      </c>
    </row>
    <row r="26" spans="2:2" x14ac:dyDescent="0.3">
      <c r="B26" t="s">
        <v>210</v>
      </c>
    </row>
    <row r="27" spans="2:2" x14ac:dyDescent="0.3">
      <c r="B27" t="s">
        <v>211</v>
      </c>
    </row>
    <row r="28" spans="2:2" x14ac:dyDescent="0.3">
      <c r="B28" t="s">
        <v>229</v>
      </c>
    </row>
    <row r="29" spans="2:2" x14ac:dyDescent="0.3">
      <c r="B29" t="s">
        <v>230</v>
      </c>
    </row>
    <row r="30" spans="2:2" x14ac:dyDescent="0.3">
      <c r="B30" t="s">
        <v>231</v>
      </c>
    </row>
    <row r="31" spans="2:2" x14ac:dyDescent="0.3">
      <c r="B31" t="s">
        <v>232</v>
      </c>
    </row>
    <row r="32" spans="2:2" x14ac:dyDescent="0.3">
      <c r="B32" t="s">
        <v>233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6D67-1D95-4458-A716-EF05EEFA294A}">
  <dimension ref="A1:Q34"/>
  <sheetViews>
    <sheetView workbookViewId="0">
      <selection activeCell="U22" sqref="U22"/>
    </sheetView>
  </sheetViews>
  <sheetFormatPr defaultRowHeight="14.4" x14ac:dyDescent="0.3"/>
  <cols>
    <col min="1" max="1" width="14.5546875" bestFit="1" customWidth="1"/>
    <col min="15" max="15" width="16.6640625" customWidth="1"/>
  </cols>
  <sheetData>
    <row r="1" spans="1:17" ht="28.8" x14ac:dyDescent="0.3">
      <c r="A1" s="9" t="s">
        <v>64</v>
      </c>
      <c r="B1" s="21" t="s">
        <v>66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4" t="s">
        <v>104</v>
      </c>
      <c r="O1" s="9" t="s">
        <v>65</v>
      </c>
      <c r="P1" s="9" t="s">
        <v>96</v>
      </c>
      <c r="Q1" s="20" t="s">
        <v>97</v>
      </c>
    </row>
    <row r="2" spans="1:17" x14ac:dyDescent="0.3">
      <c r="A2" s="9" t="s">
        <v>143</v>
      </c>
      <c r="B2" s="18" t="s">
        <v>92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7" x14ac:dyDescent="0.3">
      <c r="A3" s="9" t="s">
        <v>144</v>
      </c>
      <c r="B3" s="18" t="s">
        <v>93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7" x14ac:dyDescent="0.3">
      <c r="A4" s="9" t="s">
        <v>145</v>
      </c>
      <c r="B4" s="18" t="s">
        <v>94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7" x14ac:dyDescent="0.3">
      <c r="A5" s="9" t="s">
        <v>146</v>
      </c>
      <c r="B5" s="18" t="s">
        <v>98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9"/>
    </row>
    <row r="6" spans="1:17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7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7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7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7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7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7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7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7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7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7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mergeCells count="34">
    <mergeCell ref="B31:M31"/>
    <mergeCell ref="B32:M32"/>
    <mergeCell ref="B33:M33"/>
    <mergeCell ref="B34:M34"/>
    <mergeCell ref="B5:L5"/>
    <mergeCell ref="B25:M25"/>
    <mergeCell ref="B26:M26"/>
    <mergeCell ref="B27:M27"/>
    <mergeCell ref="B28:M28"/>
    <mergeCell ref="B29:M29"/>
    <mergeCell ref="B30:M30"/>
    <mergeCell ref="B19:M19"/>
    <mergeCell ref="B20:M20"/>
    <mergeCell ref="B21:M21"/>
    <mergeCell ref="B22:M22"/>
    <mergeCell ref="B23:M23"/>
    <mergeCell ref="B24:M24"/>
    <mergeCell ref="B13:M13"/>
    <mergeCell ref="B14:M14"/>
    <mergeCell ref="B15:M15"/>
    <mergeCell ref="B16:M16"/>
    <mergeCell ref="B17:M17"/>
    <mergeCell ref="B18:M18"/>
    <mergeCell ref="B7:M7"/>
    <mergeCell ref="B8:M8"/>
    <mergeCell ref="B9:M9"/>
    <mergeCell ref="B10:M10"/>
    <mergeCell ref="B11:M11"/>
    <mergeCell ref="B12:M12"/>
    <mergeCell ref="B1:M1"/>
    <mergeCell ref="B2:M2"/>
    <mergeCell ref="B3:M3"/>
    <mergeCell ref="B4:M4"/>
    <mergeCell ref="B6:M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739F-C200-4F55-9D12-E8C047763075}">
  <dimension ref="A1:B32"/>
  <sheetViews>
    <sheetView tabSelected="1" workbookViewId="0">
      <selection activeCell="B12" sqref="B12"/>
    </sheetView>
  </sheetViews>
  <sheetFormatPr defaultRowHeight="14.4" x14ac:dyDescent="0.3"/>
  <cols>
    <col min="1" max="1" width="37.44140625" bestFit="1" customWidth="1"/>
    <col min="2" max="2" width="45.44140625" customWidth="1"/>
  </cols>
  <sheetData>
    <row r="1" spans="1:2" s="20" customFormat="1" x14ac:dyDescent="0.3">
      <c r="A1" s="9" t="s">
        <v>96</v>
      </c>
      <c r="B1" s="9" t="s">
        <v>236</v>
      </c>
    </row>
    <row r="2" spans="1:2" x14ac:dyDescent="0.3">
      <c r="A2" s="29" t="s">
        <v>214</v>
      </c>
    </row>
    <row r="3" spans="1:2" x14ac:dyDescent="0.3">
      <c r="A3" t="s">
        <v>213</v>
      </c>
    </row>
    <row r="4" spans="1:2" x14ac:dyDescent="0.3">
      <c r="A4" t="s">
        <v>190</v>
      </c>
    </row>
    <row r="5" spans="1:2" x14ac:dyDescent="0.3">
      <c r="A5" t="s">
        <v>191</v>
      </c>
    </row>
    <row r="6" spans="1:2" x14ac:dyDescent="0.3">
      <c r="A6" t="s">
        <v>192</v>
      </c>
    </row>
    <row r="7" spans="1:2" x14ac:dyDescent="0.3">
      <c r="A7" t="s">
        <v>193</v>
      </c>
    </row>
    <row r="8" spans="1:2" x14ac:dyDescent="0.3">
      <c r="A8" t="s">
        <v>194</v>
      </c>
    </row>
    <row r="9" spans="1:2" x14ac:dyDescent="0.3">
      <c r="A9" t="s">
        <v>195</v>
      </c>
    </row>
    <row r="10" spans="1:2" x14ac:dyDescent="0.3">
      <c r="A10" t="s">
        <v>196</v>
      </c>
      <c r="B10" s="3"/>
    </row>
    <row r="11" spans="1:2" x14ac:dyDescent="0.3">
      <c r="A11" t="s">
        <v>197</v>
      </c>
    </row>
    <row r="12" spans="1:2" x14ac:dyDescent="0.3">
      <c r="A12" t="s">
        <v>198</v>
      </c>
    </row>
    <row r="13" spans="1:2" x14ac:dyDescent="0.3">
      <c r="A13" t="s">
        <v>199</v>
      </c>
    </row>
    <row r="14" spans="1:2" x14ac:dyDescent="0.3">
      <c r="A14" t="s">
        <v>200</v>
      </c>
    </row>
    <row r="15" spans="1:2" x14ac:dyDescent="0.3">
      <c r="A15" t="s">
        <v>201</v>
      </c>
    </row>
    <row r="16" spans="1:2" x14ac:dyDescent="0.3">
      <c r="A16" t="s">
        <v>212</v>
      </c>
    </row>
    <row r="17" spans="1:1" x14ac:dyDescent="0.3">
      <c r="A17" t="s">
        <v>202</v>
      </c>
    </row>
    <row r="18" spans="1:1" x14ac:dyDescent="0.3">
      <c r="A18" t="s">
        <v>235</v>
      </c>
    </row>
    <row r="19" spans="1:1" x14ac:dyDescent="0.3">
      <c r="A19" t="s">
        <v>234</v>
      </c>
    </row>
    <row r="20" spans="1:1" x14ac:dyDescent="0.3">
      <c r="A20" t="s">
        <v>204</v>
      </c>
    </row>
    <row r="21" spans="1:1" x14ac:dyDescent="0.3">
      <c r="A21" t="s">
        <v>205</v>
      </c>
    </row>
    <row r="22" spans="1:1" x14ac:dyDescent="0.3">
      <c r="A22" t="s">
        <v>206</v>
      </c>
    </row>
    <row r="23" spans="1:1" x14ac:dyDescent="0.3">
      <c r="A23" t="s">
        <v>207</v>
      </c>
    </row>
    <row r="24" spans="1:1" x14ac:dyDescent="0.3">
      <c r="A24" t="s">
        <v>208</v>
      </c>
    </row>
    <row r="25" spans="1:1" x14ac:dyDescent="0.3">
      <c r="A25" t="s">
        <v>209</v>
      </c>
    </row>
    <row r="26" spans="1:1" x14ac:dyDescent="0.3">
      <c r="A26" t="s">
        <v>210</v>
      </c>
    </row>
    <row r="27" spans="1:1" x14ac:dyDescent="0.3">
      <c r="A27" t="s">
        <v>211</v>
      </c>
    </row>
    <row r="28" spans="1:1" x14ac:dyDescent="0.3">
      <c r="A28" t="s">
        <v>229</v>
      </c>
    </row>
    <row r="29" spans="1:1" x14ac:dyDescent="0.3">
      <c r="A29" t="s">
        <v>230</v>
      </c>
    </row>
    <row r="30" spans="1:1" x14ac:dyDescent="0.3">
      <c r="A30" t="s">
        <v>231</v>
      </c>
    </row>
    <row r="31" spans="1:1" x14ac:dyDescent="0.3">
      <c r="A31" t="s">
        <v>232</v>
      </c>
    </row>
    <row r="32" spans="1:1" x14ac:dyDescent="0.3">
      <c r="A32" t="s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FDA3-E1DB-427E-8D08-82216E2AAAC6}">
  <dimension ref="A1"/>
  <sheetViews>
    <sheetView workbookViewId="0">
      <selection activeCell="P32" sqref="P32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3CF6-5FBA-4064-A531-4186965DAEEE}">
  <dimension ref="A1"/>
  <sheetViews>
    <sheetView workbookViewId="0"/>
  </sheetViews>
  <sheetFormatPr defaultRowHeight="14.4" x14ac:dyDescent="0.3"/>
  <sheetData>
    <row r="1" spans="1:1" x14ac:dyDescent="0.3">
      <c r="A1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D372-FC4F-495A-A70C-1137C77C09A6}">
  <dimension ref="A1"/>
  <sheetViews>
    <sheetView workbookViewId="0">
      <selection activeCell="L26" sqref="L26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3ACA-0C57-46A0-8CAF-985E0BD814AF}">
  <dimension ref="A1"/>
  <sheetViews>
    <sheetView workbookViewId="0">
      <selection activeCell="L21" sqref="L21"/>
    </sheetView>
  </sheetViews>
  <sheetFormatPr defaultRowHeight="14.4" x14ac:dyDescent="0.3"/>
  <sheetData>
    <row r="1" spans="1:1" x14ac:dyDescent="0.3">
      <c r="A1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4F80-D1A6-4F35-AD33-5E2BFBA49728}">
  <dimension ref="A1"/>
  <sheetViews>
    <sheetView workbookViewId="0">
      <selection activeCell="M21" sqref="M21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E0B2-60F9-433D-BF66-C2838ECDF7D5}">
  <dimension ref="A1"/>
  <sheetViews>
    <sheetView workbookViewId="0">
      <selection activeCell="N16" sqref="N16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E8A4-C802-4AFF-BBF9-A87B82762FB6}">
  <dimension ref="A1"/>
  <sheetViews>
    <sheetView workbookViewId="0">
      <selection activeCell="N16" sqref="N16"/>
    </sheetView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DED8-9A0D-4B3A-B502-675FDC7D6BF5}">
  <dimension ref="A1"/>
  <sheetViews>
    <sheetView workbookViewId="0">
      <selection activeCell="O14" sqref="O14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71F3-094B-4C9A-8D71-569F3F099823}">
  <dimension ref="A1"/>
  <sheetViews>
    <sheetView workbookViewId="0">
      <selection activeCell="P23" sqref="P23"/>
    </sheetView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52C-95AF-44E5-8F2D-662F2CBB8A35}">
  <dimension ref="A1"/>
  <sheetViews>
    <sheetView workbookViewId="0">
      <selection activeCell="P14" sqref="P14"/>
    </sheetView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C4E8-B3F7-41C4-8E9D-51B73DE9E772}">
  <dimension ref="A1"/>
  <sheetViews>
    <sheetView workbookViewId="0">
      <selection activeCell="Q23" sqref="Q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Demographics</vt:lpstr>
      <vt:lpstr>Payroll</vt:lpstr>
      <vt:lpstr>EmployeeHoursEntry</vt:lpstr>
      <vt:lpstr>PayStubInfo</vt:lpstr>
      <vt:lpstr>SystemReq</vt:lpstr>
      <vt:lpstr>DATA</vt:lpstr>
      <vt:lpstr>SwReq</vt:lpstr>
      <vt:lpstr>TestCasesList</vt:lpstr>
      <vt:lpstr>Metrics</vt:lpstr>
      <vt:lpstr>TC1001</vt:lpstr>
      <vt:lpstr>TC1002</vt:lpstr>
      <vt:lpstr>TC1003</vt:lpstr>
      <vt:lpstr>TC1004</vt:lpstr>
      <vt:lpstr>TS1005</vt:lpstr>
      <vt:lpstr>TC1006</vt:lpstr>
      <vt:lpstr>TC1007</vt:lpstr>
      <vt:lpstr>TC1008</vt:lpstr>
      <vt:lpstr>TC1009</vt:lpstr>
      <vt:lpstr>TC1010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</dc:creator>
  <cp:lastModifiedBy>Jamie Williams</cp:lastModifiedBy>
  <dcterms:created xsi:type="dcterms:W3CDTF">2026-07-04T01:09:08Z</dcterms:created>
  <dcterms:modified xsi:type="dcterms:W3CDTF">2026-07-04T13:22:47Z</dcterms:modified>
</cp:coreProperties>
</file>